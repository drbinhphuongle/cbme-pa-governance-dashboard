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_Observations" sheetId="2" state="visible" r:id="rId2"/>
    <sheet xmlns:r="http://schemas.openxmlformats.org/officeDocument/2006/relationships" name="Learners" sheetId="3" state="visible" r:id="rId3"/>
    <sheet xmlns:r="http://schemas.openxmlformats.org/officeDocument/2006/relationships" name="EPAs" sheetId="4" state="visible" r:id="rId4"/>
    <sheet xmlns:r="http://schemas.openxmlformats.org/officeDocument/2006/relationships" name="Learner_Snapshot" sheetId="5" state="visible" r:id="rId5"/>
    <sheet xmlns:r="http://schemas.openxmlformats.org/officeDocument/2006/relationships" name="EPA_Progress" sheetId="6" state="visible" r:id="rId6"/>
    <sheet xmlns:r="http://schemas.openxmlformats.org/officeDocument/2006/relationships" name="Quality_Fairness" sheetId="7" state="visible" r:id="rId7"/>
    <sheet xmlns:r="http://schemas.openxmlformats.org/officeDocument/2006/relationships" name="Audit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1E7DD"/>
        </patternFill>
      </fill>
    </dxf>
    <dxf>
      <fill>
        <patternFill patternType="solid">
          <f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Obs" displayName="tblObs" ref="A1:K701" headerRowCount="1">
  <autoFilter ref="A1:K701"/>
  <tableColumns count="11">
    <tableColumn id="1" name="Learner_ID"/>
    <tableColumn id="2" name="Date"/>
    <tableColumn id="3" name="EPA_ID"/>
    <tableColumn id="4" name="Entrustment_Level"/>
    <tableColumn id="5" name="Assessor_ID"/>
    <tableColumn id="6" name="Assessor_Role"/>
    <tableColumn id="7" name="Setting"/>
    <tableColumn id="8" name="Case_Type"/>
    <tableColumn id="9" name="Narrative_Positive"/>
    <tableColumn id="10" name="Narrative_Improve"/>
    <tableColumn id="11" name="Flag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Learners" displayName="tblLearners" ref="A1:D61" headerRowCount="1">
  <autoFilter ref="A1:D61"/>
  <tableColumns count="4">
    <tableColumn id="1" name="Learner_ID"/>
    <tableColumn id="2" name="Stage"/>
    <tableColumn id="3" name="Rotation"/>
    <tableColumn id="4" name="Coach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EPAs" displayName="tblEPAs" ref="A1:F31" headerRowCount="1">
  <autoFilter ref="A1:F31"/>
  <tableColumns count="6">
    <tableColumn id="1" name="EPA_ID"/>
    <tableColumn id="2" name="EPA_Title"/>
    <tableColumn id="3" name="Domain"/>
    <tableColumn id="4" name="Expected_Level_PGY1"/>
    <tableColumn id="5" name="Expected_Level_PGY2"/>
    <tableColumn id="6" name="Expected_Level_PGY3plu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PA-Gov Dashboard Kit (v1.0.0) — Excel Skeleton</t>
        </is>
      </c>
    </row>
    <row r="3">
      <c r="A3" s="2" t="inlineStr">
        <is>
          <t>How to use:</t>
        </is>
      </c>
    </row>
    <row r="4">
      <c r="A4" s="3" t="inlineStr">
        <is>
          <t>1) Paste/Import data into the three tables: tblLearners (Learners), tblEPAs (EPAs), tblObs (Input_Observations).</t>
        </is>
      </c>
    </row>
    <row r="5">
      <c r="A5" s="3" t="inlineStr">
        <is>
          <t>2) Ensure Date is YYYY-MM-DD, Entrustment_Level is 1–5, Flag is 0/1.</t>
        </is>
      </c>
    </row>
    <row r="6">
      <c r="A6" s="3" t="inlineStr">
        <is>
          <t>3) Review outputs in Learner_Snapshot, EPA_Progress, and Quality_Fairness.</t>
        </is>
      </c>
    </row>
    <row r="7">
      <c r="A7" s="3" t="inlineStr">
        <is>
          <t>Tip: Use the provided demo dataset workbook to copy the tables into this file.</t>
        </is>
      </c>
    </row>
    <row r="8">
      <c r="A8" s="3" t="n"/>
    </row>
    <row r="9">
      <c r="A9" s="4" t="inlineStr">
        <is>
          <t>Tables expected:</t>
        </is>
      </c>
    </row>
    <row r="10">
      <c r="A10" s="3" t="inlineStr">
        <is>
          <t>- tblObs: Input_Observations</t>
        </is>
      </c>
    </row>
    <row r="11">
      <c r="A11" s="3" t="inlineStr">
        <is>
          <t>- tblLearners: Learners</t>
        </is>
      </c>
    </row>
    <row r="12">
      <c r="A12" s="3" t="inlineStr">
        <is>
          <t>- tblEPAs: EPAs</t>
        </is>
      </c>
    </row>
    <row r="13">
      <c r="A13" s="3" t="n"/>
    </row>
    <row r="14">
      <c r="A14" s="4" t="inlineStr">
        <is>
          <t>Versioning:</t>
        </is>
      </c>
    </row>
    <row r="15">
      <c r="A15" s="3" t="inlineStr">
        <is>
          <t>This dashboard skeleton is aligned with DataDictionary_v1.0.0 and DecisionRules_v1.0.0.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3" customWidth="1" min="5" max="5"/>
    <col width="15" customWidth="1" min="6" max="6"/>
    <col width="12" customWidth="1" min="7" max="7"/>
    <col width="12" customWidth="1" min="8" max="8"/>
    <col width="45" customWidth="1" min="9" max="9"/>
    <col width="45" customWidth="1" min="10" max="10"/>
    <col width="12" customWidth="1" min="11" max="11"/>
  </cols>
  <sheetData>
    <row r="1">
      <c r="A1" s="5" t="inlineStr">
        <is>
          <t>Learner_ID</t>
        </is>
      </c>
      <c r="B1" s="5" t="inlineStr">
        <is>
          <t>Date</t>
        </is>
      </c>
      <c r="C1" s="5" t="inlineStr">
        <is>
          <t>EPA_ID</t>
        </is>
      </c>
      <c r="D1" s="5" t="inlineStr">
        <is>
          <t>Entrustment_Level</t>
        </is>
      </c>
      <c r="E1" s="5" t="inlineStr">
        <is>
          <t>Assessor_ID</t>
        </is>
      </c>
      <c r="F1" s="5" t="inlineStr">
        <is>
          <t>Assessor_Role</t>
        </is>
      </c>
      <c r="G1" s="5" t="inlineStr">
        <is>
          <t>Setting</t>
        </is>
      </c>
      <c r="H1" s="5" t="inlineStr">
        <is>
          <t>Case_Type</t>
        </is>
      </c>
      <c r="I1" s="5" t="inlineStr">
        <is>
          <t>Narrative_Positive</t>
        </is>
      </c>
      <c r="J1" s="5" t="inlineStr">
        <is>
          <t>Narrative_Improve</t>
        </is>
      </c>
      <c r="K1" s="5" t="inlineStr">
        <is>
          <t>Flag</t>
        </is>
      </c>
    </row>
    <row r="2">
      <c r="A2" t="inlineStr">
        <is>
          <t>L002</t>
        </is>
      </c>
      <c r="B2" s="6" t="n">
        <v>46034</v>
      </c>
      <c r="C2" t="inlineStr">
        <is>
          <t>EPA04</t>
        </is>
      </c>
      <c r="D2" t="n">
        <v>3</v>
      </c>
      <c r="E2" t="inlineStr">
        <is>
          <t>A007</t>
        </is>
      </c>
      <c r="F2" t="inlineStr">
        <is>
          <t>Faculty</t>
        </is>
      </c>
      <c r="G2" t="inlineStr">
        <is>
          <t>ED</t>
        </is>
      </c>
      <c r="H2" t="inlineStr">
        <is>
          <t>CaseC</t>
        </is>
      </c>
      <c r="I2" s="3" t="inlineStr">
        <is>
          <t>Good clinical reasoning with key findings identified.</t>
        </is>
      </c>
      <c r="J2" s="3" t="inlineStr">
        <is>
          <t>Increase efficiency while maintaining safety checks.</t>
        </is>
      </c>
      <c r="K2" t="n">
        <v>0</v>
      </c>
    </row>
    <row r="3">
      <c r="A3" t="inlineStr">
        <is>
          <t>L002</t>
        </is>
      </c>
      <c r="B3" s="6" t="n">
        <v>46071</v>
      </c>
      <c r="C3" t="inlineStr">
        <is>
          <t>EPA09</t>
        </is>
      </c>
      <c r="D3" t="n">
        <v>5</v>
      </c>
      <c r="E3" t="inlineStr">
        <is>
          <t>A002</t>
        </is>
      </c>
      <c r="F3" t="inlineStr">
        <is>
          <t>Faculty</t>
        </is>
      </c>
      <c r="G3" t="inlineStr">
        <is>
          <t>ED</t>
        </is>
      </c>
      <c r="H3" t="inlineStr">
        <is>
          <t>CaseF</t>
        </is>
      </c>
      <c r="I3" s="3" t="inlineStr">
        <is>
          <t>Professional and patient-centered approach.</t>
        </is>
      </c>
      <c r="J3" s="3" t="inlineStr">
        <is>
          <t>Document key times and decisions more clearly.</t>
        </is>
      </c>
      <c r="K3" t="n">
        <v>0</v>
      </c>
    </row>
    <row r="4">
      <c r="A4" t="inlineStr">
        <is>
          <t>L022</t>
        </is>
      </c>
      <c r="B4" s="6" t="n">
        <v>45924</v>
      </c>
      <c r="C4" t="inlineStr">
        <is>
          <t>EPA02</t>
        </is>
      </c>
      <c r="D4" t="n">
        <v>4</v>
      </c>
      <c r="E4" t="inlineStr">
        <is>
          <t>A008</t>
        </is>
      </c>
      <c r="F4" t="inlineStr">
        <is>
          <t>AlliedHealth</t>
        </is>
      </c>
      <c r="G4" t="inlineStr">
        <is>
          <t>ED</t>
        </is>
      </c>
      <c r="H4" t="inlineStr">
        <is>
          <t>CaseE</t>
        </is>
      </c>
      <c r="I4" s="3" t="n"/>
      <c r="J4" s="3" t="n"/>
      <c r="K4" t="n">
        <v>0</v>
      </c>
    </row>
    <row r="5">
      <c r="A5" t="inlineStr">
        <is>
          <t>L007</t>
        </is>
      </c>
      <c r="B5" s="6" t="n">
        <v>45996</v>
      </c>
      <c r="C5" t="inlineStr">
        <is>
          <t>EPA04</t>
        </is>
      </c>
      <c r="D5" t="n">
        <v>2</v>
      </c>
      <c r="E5" t="inlineStr">
        <is>
          <t>A014</t>
        </is>
      </c>
      <c r="F5" t="inlineStr">
        <is>
          <t>Faculty</t>
        </is>
      </c>
      <c r="G5" t="inlineStr">
        <is>
          <t>Sim</t>
        </is>
      </c>
      <c r="H5" t="inlineStr">
        <is>
          <t>CaseC</t>
        </is>
      </c>
      <c r="I5" s="3" t="inlineStr">
        <is>
          <t>Good clinical reasoning with key findings identified.</t>
        </is>
      </c>
      <c r="J5" s="3" t="inlineStr">
        <is>
          <t>Broaden the differential diagnosis and justify choices.</t>
        </is>
      </c>
      <c r="K5" t="n">
        <v>0</v>
      </c>
    </row>
    <row r="6">
      <c r="A6" t="inlineStr">
        <is>
          <t>L022</t>
        </is>
      </c>
      <c r="B6" s="6" t="n">
        <v>45917</v>
      </c>
      <c r="C6" t="inlineStr">
        <is>
          <t>EPA09</t>
        </is>
      </c>
      <c r="D6" t="n">
        <v>2</v>
      </c>
      <c r="E6" t="inlineStr">
        <is>
          <t>A011</t>
        </is>
      </c>
      <c r="F6" t="inlineStr">
        <is>
          <t>Nurse</t>
        </is>
      </c>
      <c r="G6" t="inlineStr">
        <is>
          <t>OPD</t>
        </is>
      </c>
      <c r="H6" t="inlineStr">
        <is>
          <t>CaseB</t>
        </is>
      </c>
      <c r="I6" s="3" t="inlineStr">
        <is>
          <t>Effective teamwork and closed-loop communication.</t>
        </is>
      </c>
      <c r="J6" s="3" t="inlineStr">
        <is>
          <t>Clarify escalation criteria and communicate proactively.</t>
        </is>
      </c>
      <c r="K6" t="n">
        <v>0</v>
      </c>
    </row>
    <row r="7">
      <c r="A7" t="inlineStr">
        <is>
          <t>L014</t>
        </is>
      </c>
      <c r="B7" s="6" t="n">
        <v>45964</v>
      </c>
      <c r="C7" t="inlineStr">
        <is>
          <t>EPA06</t>
        </is>
      </c>
      <c r="D7" t="n">
        <v>3</v>
      </c>
      <c r="E7" t="inlineStr">
        <is>
          <t>A011</t>
        </is>
      </c>
      <c r="F7" t="inlineStr">
        <is>
          <t>Nurse</t>
        </is>
      </c>
      <c r="G7" t="inlineStr">
        <is>
          <t>ED</t>
        </is>
      </c>
      <c r="H7" t="inlineStr">
        <is>
          <t>CaseB</t>
        </is>
      </c>
      <c r="I7" s="3" t="n"/>
      <c r="J7" s="3" t="n"/>
      <c r="K7" t="n">
        <v>0</v>
      </c>
    </row>
    <row r="8">
      <c r="A8" t="inlineStr">
        <is>
          <t>L002</t>
        </is>
      </c>
      <c r="B8" s="6" t="n">
        <v>45959</v>
      </c>
      <c r="C8" t="inlineStr">
        <is>
          <t>EPA02</t>
        </is>
      </c>
      <c r="D8" t="n">
        <v>5</v>
      </c>
      <c r="E8" t="inlineStr">
        <is>
          <t>A013</t>
        </is>
      </c>
      <c r="F8" t="inlineStr">
        <is>
          <t>Nurse</t>
        </is>
      </c>
      <c r="G8" t="inlineStr">
        <is>
          <t>Ward</t>
        </is>
      </c>
      <c r="H8" t="inlineStr">
        <is>
          <t>CaseB</t>
        </is>
      </c>
      <c r="I8" s="3" t="inlineStr">
        <is>
          <t>Appropriate prioritization and plan articulation.</t>
        </is>
      </c>
      <c r="J8" s="3" t="inlineStr">
        <is>
          <t>Be more concise and state the plan earlier.</t>
        </is>
      </c>
      <c r="K8" t="n">
        <v>0</v>
      </c>
    </row>
    <row r="9">
      <c r="A9" t="inlineStr">
        <is>
          <t>L012</t>
        </is>
      </c>
      <c r="B9" s="6" t="n">
        <v>45945</v>
      </c>
      <c r="C9" t="inlineStr">
        <is>
          <t>EPA01</t>
        </is>
      </c>
      <c r="D9" t="n">
        <v>5</v>
      </c>
      <c r="E9" t="inlineStr">
        <is>
          <t>A001</t>
        </is>
      </c>
      <c r="F9" t="inlineStr">
        <is>
          <t>Faculty</t>
        </is>
      </c>
      <c r="G9" t="inlineStr">
        <is>
          <t>Sim</t>
        </is>
      </c>
      <c r="H9" t="inlineStr">
        <is>
          <t>CaseG</t>
        </is>
      </c>
      <c r="I9" s="3" t="inlineStr">
        <is>
          <t>Effective teamwork and closed-loop communication.</t>
        </is>
      </c>
      <c r="J9" s="3" t="inlineStr">
        <is>
          <t>Broaden the differential diagnosis and justify choices.</t>
        </is>
      </c>
      <c r="K9" t="n">
        <v>0</v>
      </c>
    </row>
    <row r="10">
      <c r="A10" t="inlineStr">
        <is>
          <t>L015</t>
        </is>
      </c>
      <c r="B10" s="6" t="n">
        <v>46046</v>
      </c>
      <c r="C10" t="inlineStr">
        <is>
          <t>EPA08</t>
        </is>
      </c>
      <c r="D10" t="n">
        <v>4</v>
      </c>
      <c r="E10" t="inlineStr">
        <is>
          <t>A007</t>
        </is>
      </c>
      <c r="F10" t="inlineStr">
        <is>
          <t>Faculty</t>
        </is>
      </c>
      <c r="G10" t="inlineStr">
        <is>
          <t>OR</t>
        </is>
      </c>
      <c r="H10" t="inlineStr">
        <is>
          <t>CaseB</t>
        </is>
      </c>
      <c r="I10" s="3" t="inlineStr">
        <is>
          <t>Professional and patient-centered approach.</t>
        </is>
      </c>
      <c r="J10" s="3" t="inlineStr">
        <is>
          <t>Document key times and decisions more clearly.</t>
        </is>
      </c>
      <c r="K10" t="n">
        <v>0</v>
      </c>
    </row>
    <row r="11">
      <c r="A11" t="inlineStr">
        <is>
          <t>L008</t>
        </is>
      </c>
      <c r="B11" s="6" t="n">
        <v>46058</v>
      </c>
      <c r="C11" t="inlineStr">
        <is>
          <t>EPA07</t>
        </is>
      </c>
      <c r="D11" t="n">
        <v>4</v>
      </c>
      <c r="E11" t="inlineStr">
        <is>
          <t>A001</t>
        </is>
      </c>
      <c r="F11" t="inlineStr">
        <is>
          <t>Faculty</t>
        </is>
      </c>
      <c r="G11" t="inlineStr">
        <is>
          <t>ED</t>
        </is>
      </c>
      <c r="H11" t="inlineStr">
        <is>
          <t>CaseA</t>
        </is>
      </c>
      <c r="I11" s="3" t="inlineStr">
        <is>
          <t>Appropriate prioritization and plan articulation.</t>
        </is>
      </c>
      <c r="J11" s="3" t="inlineStr">
        <is>
          <t>Clarify escalation criteria and communicate proactively.</t>
        </is>
      </c>
      <c r="K11" t="n">
        <v>0</v>
      </c>
    </row>
    <row r="12">
      <c r="A12" t="inlineStr">
        <is>
          <t>L017</t>
        </is>
      </c>
      <c r="B12" s="6" t="n">
        <v>45980</v>
      </c>
      <c r="C12" t="inlineStr">
        <is>
          <t>EPA05</t>
        </is>
      </c>
      <c r="D12" t="n">
        <v>5</v>
      </c>
      <c r="E12" t="inlineStr">
        <is>
          <t>A008</t>
        </is>
      </c>
      <c r="F12" t="inlineStr">
        <is>
          <t>AlliedHealth</t>
        </is>
      </c>
      <c r="G12" t="inlineStr">
        <is>
          <t>ED</t>
        </is>
      </c>
      <c r="H12" t="inlineStr">
        <is>
          <t>CaseA</t>
        </is>
      </c>
      <c r="I12" s="3" t="inlineStr">
        <is>
          <t>Effective teamwork and closed-loop communication.</t>
        </is>
      </c>
      <c r="J12" s="3" t="n"/>
      <c r="K12" t="n">
        <v>0</v>
      </c>
    </row>
    <row r="13">
      <c r="A13" t="inlineStr">
        <is>
          <t>L025</t>
        </is>
      </c>
      <c r="B13" s="6" t="n">
        <v>46060</v>
      </c>
      <c r="C13" t="inlineStr">
        <is>
          <t>EPA07</t>
        </is>
      </c>
      <c r="D13" t="n">
        <v>4</v>
      </c>
      <c r="E13" t="inlineStr">
        <is>
          <t>A013</t>
        </is>
      </c>
      <c r="F13" t="inlineStr">
        <is>
          <t>Nurse</t>
        </is>
      </c>
      <c r="G13" t="inlineStr">
        <is>
          <t>OPD</t>
        </is>
      </c>
      <c r="H13" t="inlineStr">
        <is>
          <t>CaseD</t>
        </is>
      </c>
      <c r="I13" s="3" t="inlineStr">
        <is>
          <t>Professional and patient-centered approach.</t>
        </is>
      </c>
      <c r="J13" s="3" t="inlineStr">
        <is>
          <t>Document key times and decisions more clearly.</t>
        </is>
      </c>
      <c r="K13" t="n">
        <v>1</v>
      </c>
    </row>
    <row r="14">
      <c r="A14" t="inlineStr">
        <is>
          <t>L003</t>
        </is>
      </c>
      <c r="B14" s="6" t="n">
        <v>46032</v>
      </c>
      <c r="C14" t="inlineStr">
        <is>
          <t>EPA08</t>
        </is>
      </c>
      <c r="D14" t="n">
        <v>4</v>
      </c>
      <c r="E14" t="inlineStr">
        <is>
          <t>A012</t>
        </is>
      </c>
      <c r="F14" t="inlineStr">
        <is>
          <t>Faculty</t>
        </is>
      </c>
      <c r="G14" t="inlineStr">
        <is>
          <t>ED</t>
        </is>
      </c>
      <c r="H14" t="inlineStr">
        <is>
          <t>CaseC</t>
        </is>
      </c>
      <c r="I14" s="3" t="inlineStr">
        <is>
          <t>Professional and patient-centered approach.</t>
        </is>
      </c>
      <c r="J14" s="3" t="inlineStr">
        <is>
          <t>Increase efficiency while maintaining safety checks.</t>
        </is>
      </c>
      <c r="K14" t="n">
        <v>0</v>
      </c>
    </row>
    <row r="15">
      <c r="A15" t="inlineStr">
        <is>
          <t>L008</t>
        </is>
      </c>
      <c r="B15" s="6" t="n">
        <v>45899</v>
      </c>
      <c r="C15" t="inlineStr">
        <is>
          <t>EPA07</t>
        </is>
      </c>
      <c r="D15" t="n">
        <v>5</v>
      </c>
      <c r="E15" t="inlineStr">
        <is>
          <t>A003</t>
        </is>
      </c>
      <c r="F15" t="inlineStr">
        <is>
          <t>Faculty</t>
        </is>
      </c>
      <c r="G15" t="inlineStr">
        <is>
          <t>OR</t>
        </is>
      </c>
      <c r="H15" t="inlineStr">
        <is>
          <t>CaseA</t>
        </is>
      </c>
      <c r="I15" s="3" t="n"/>
      <c r="J15" s="3" t="n"/>
      <c r="K15" t="n">
        <v>0</v>
      </c>
    </row>
    <row r="16">
      <c r="A16" t="inlineStr">
        <is>
          <t>L012</t>
        </is>
      </c>
      <c r="B16" s="6" t="n">
        <v>45972</v>
      </c>
      <c r="C16" t="inlineStr">
        <is>
          <t>EPA08</t>
        </is>
      </c>
      <c r="D16" t="n">
        <v>4</v>
      </c>
      <c r="E16" t="inlineStr">
        <is>
          <t>A005</t>
        </is>
      </c>
      <c r="F16" t="inlineStr">
        <is>
          <t>Faculty</t>
        </is>
      </c>
      <c r="G16" t="inlineStr">
        <is>
          <t>ICU</t>
        </is>
      </c>
      <c r="H16" t="inlineStr">
        <is>
          <t>CaseF</t>
        </is>
      </c>
      <c r="I16" s="3" t="inlineStr">
        <is>
          <t>Appropriate prioritization and plan articulation.</t>
        </is>
      </c>
      <c r="J16" s="3" t="n"/>
      <c r="K16" t="n">
        <v>0</v>
      </c>
    </row>
    <row r="17">
      <c r="A17" t="inlineStr">
        <is>
          <t>L025</t>
        </is>
      </c>
      <c r="B17" s="6" t="n">
        <v>45991</v>
      </c>
      <c r="C17" t="inlineStr">
        <is>
          <t>EPA07</t>
        </is>
      </c>
      <c r="D17" t="n">
        <v>3</v>
      </c>
      <c r="E17" t="inlineStr">
        <is>
          <t>A007</t>
        </is>
      </c>
      <c r="F17" t="inlineStr">
        <is>
          <t>Faculty</t>
        </is>
      </c>
      <c r="G17" t="inlineStr">
        <is>
          <t>OPD</t>
        </is>
      </c>
      <c r="H17" t="inlineStr">
        <is>
          <t>CaseA</t>
        </is>
      </c>
      <c r="I17" s="3" t="n"/>
      <c r="J17" s="3" t="n"/>
      <c r="K17" t="n">
        <v>0</v>
      </c>
    </row>
    <row r="18">
      <c r="A18" t="inlineStr">
        <is>
          <t>L022</t>
        </is>
      </c>
      <c r="B18" s="6" t="n">
        <v>45946</v>
      </c>
      <c r="C18" t="inlineStr">
        <is>
          <t>EPA10</t>
        </is>
      </c>
      <c r="D18" t="n">
        <v>3</v>
      </c>
      <c r="E18" t="inlineStr">
        <is>
          <t>A010</t>
        </is>
      </c>
      <c r="F18" t="inlineStr">
        <is>
          <t>Faculty</t>
        </is>
      </c>
      <c r="G18" t="inlineStr">
        <is>
          <t>ED</t>
        </is>
      </c>
      <c r="H18" t="inlineStr">
        <is>
          <t>CaseD</t>
        </is>
      </c>
      <c r="I18" s="3" t="inlineStr">
        <is>
          <t>Clear structure and communication.</t>
        </is>
      </c>
      <c r="J18" s="3" t="inlineStr">
        <is>
          <t>Broaden the differential diagnosis and justify choices.</t>
        </is>
      </c>
      <c r="K18" t="n">
        <v>0</v>
      </c>
    </row>
    <row r="19">
      <c r="A19" t="inlineStr">
        <is>
          <t>L008</t>
        </is>
      </c>
      <c r="B19" s="6" t="n">
        <v>45973</v>
      </c>
      <c r="C19" t="inlineStr">
        <is>
          <t>EPA06</t>
        </is>
      </c>
      <c r="D19" t="n">
        <v>4</v>
      </c>
      <c r="E19" t="inlineStr">
        <is>
          <t>A005</t>
        </is>
      </c>
      <c r="F19" t="inlineStr">
        <is>
          <t>Faculty</t>
        </is>
      </c>
      <c r="G19" t="inlineStr">
        <is>
          <t>ICU</t>
        </is>
      </c>
      <c r="H19" t="inlineStr">
        <is>
          <t>CaseB</t>
        </is>
      </c>
      <c r="I19" s="3" t="n"/>
      <c r="J19" s="3" t="n"/>
      <c r="K19" t="n">
        <v>0</v>
      </c>
    </row>
    <row r="20">
      <c r="A20" t="inlineStr">
        <is>
          <t>L011</t>
        </is>
      </c>
      <c r="B20" s="6" t="n">
        <v>45914</v>
      </c>
      <c r="C20" t="inlineStr">
        <is>
          <t>EPA01</t>
        </is>
      </c>
      <c r="D20" t="n">
        <v>4</v>
      </c>
      <c r="E20" t="inlineStr">
        <is>
          <t>A007</t>
        </is>
      </c>
      <c r="F20" t="inlineStr">
        <is>
          <t>Faculty</t>
        </is>
      </c>
      <c r="G20" t="inlineStr">
        <is>
          <t>OR</t>
        </is>
      </c>
      <c r="H20" t="inlineStr">
        <is>
          <t>CaseB</t>
        </is>
      </c>
      <c r="I20" s="3" t="n"/>
      <c r="J20" s="3" t="n"/>
      <c r="K20" t="n">
        <v>0</v>
      </c>
    </row>
    <row r="21">
      <c r="A21" t="inlineStr">
        <is>
          <t>L003</t>
        </is>
      </c>
      <c r="B21" s="6" t="n">
        <v>46053</v>
      </c>
      <c r="C21" t="inlineStr">
        <is>
          <t>EPA07</t>
        </is>
      </c>
      <c r="D21" t="n">
        <v>1</v>
      </c>
      <c r="E21" t="inlineStr">
        <is>
          <t>A003</t>
        </is>
      </c>
      <c r="F21" t="inlineStr">
        <is>
          <t>Faculty</t>
        </is>
      </c>
      <c r="G21" t="inlineStr">
        <is>
          <t>ED</t>
        </is>
      </c>
      <c r="H21" t="inlineStr">
        <is>
          <t>CaseC</t>
        </is>
      </c>
      <c r="I21" s="3" t="inlineStr">
        <is>
          <t>Good clinical reasoning with key findings identified.</t>
        </is>
      </c>
      <c r="J21" s="3" t="n"/>
      <c r="K21" t="n">
        <v>0</v>
      </c>
    </row>
    <row r="22">
      <c r="A22" t="inlineStr">
        <is>
          <t>L017</t>
        </is>
      </c>
      <c r="B22" s="6" t="n">
        <v>45900</v>
      </c>
      <c r="C22" t="inlineStr">
        <is>
          <t>EPA03</t>
        </is>
      </c>
      <c r="D22" t="n">
        <v>2</v>
      </c>
      <c r="E22" t="inlineStr">
        <is>
          <t>A001</t>
        </is>
      </c>
      <c r="F22" t="inlineStr">
        <is>
          <t>Faculty</t>
        </is>
      </c>
      <c r="G22" t="inlineStr">
        <is>
          <t>OR</t>
        </is>
      </c>
      <c r="H22" t="inlineStr">
        <is>
          <t>CaseC</t>
        </is>
      </c>
      <c r="I22" s="3" t="n"/>
      <c r="J22" s="3" t="n"/>
      <c r="K22" t="n">
        <v>0</v>
      </c>
    </row>
    <row r="23">
      <c r="A23" t="inlineStr">
        <is>
          <t>L021</t>
        </is>
      </c>
      <c r="B23" s="6" t="n">
        <v>45973</v>
      </c>
      <c r="C23" t="inlineStr">
        <is>
          <t>EPA04</t>
        </is>
      </c>
      <c r="D23" t="n">
        <v>4</v>
      </c>
      <c r="E23" t="inlineStr">
        <is>
          <t>A014</t>
        </is>
      </c>
      <c r="F23" t="inlineStr">
        <is>
          <t>Faculty</t>
        </is>
      </c>
      <c r="G23" t="inlineStr">
        <is>
          <t>OR</t>
        </is>
      </c>
      <c r="H23" t="inlineStr">
        <is>
          <t>CaseE</t>
        </is>
      </c>
      <c r="I23" s="3" t="inlineStr">
        <is>
          <t>Effective teamwork and closed-loop communication.</t>
        </is>
      </c>
      <c r="J23" s="3" t="inlineStr">
        <is>
          <t>Increase efficiency while maintaining safety checks.</t>
        </is>
      </c>
      <c r="K23" t="n">
        <v>0</v>
      </c>
    </row>
    <row r="24">
      <c r="A24" t="inlineStr">
        <is>
          <t>L023</t>
        </is>
      </c>
      <c r="B24" s="6" t="n">
        <v>45995</v>
      </c>
      <c r="C24" t="inlineStr">
        <is>
          <t>EPA08</t>
        </is>
      </c>
      <c r="D24" t="n">
        <v>4</v>
      </c>
      <c r="E24" t="inlineStr">
        <is>
          <t>A010</t>
        </is>
      </c>
      <c r="F24" t="inlineStr">
        <is>
          <t>Faculty</t>
        </is>
      </c>
      <c r="G24" t="inlineStr">
        <is>
          <t>OPD</t>
        </is>
      </c>
      <c r="H24" t="inlineStr">
        <is>
          <t>CaseB</t>
        </is>
      </c>
      <c r="I24" s="3" t="inlineStr">
        <is>
          <t>Appropriate prioritization and plan articulation.</t>
        </is>
      </c>
      <c r="J24" s="3" t="inlineStr">
        <is>
          <t>Clarify escalation criteria and communicate proactively.</t>
        </is>
      </c>
      <c r="K24" t="n">
        <v>0</v>
      </c>
    </row>
    <row r="25">
      <c r="A25" t="inlineStr">
        <is>
          <t>L015</t>
        </is>
      </c>
      <c r="B25" s="6" t="n">
        <v>46059</v>
      </c>
      <c r="C25" t="inlineStr">
        <is>
          <t>EPA04</t>
        </is>
      </c>
      <c r="D25" t="n">
        <v>4</v>
      </c>
      <c r="E25" t="inlineStr">
        <is>
          <t>A005</t>
        </is>
      </c>
      <c r="F25" t="inlineStr">
        <is>
          <t>Faculty</t>
        </is>
      </c>
      <c r="G25" t="inlineStr">
        <is>
          <t>ICU</t>
        </is>
      </c>
      <c r="H25" t="inlineStr">
        <is>
          <t>CaseD</t>
        </is>
      </c>
      <c r="I25" s="3" t="n"/>
      <c r="J25" s="3" t="n"/>
      <c r="K25" t="n">
        <v>0</v>
      </c>
    </row>
    <row r="26">
      <c r="A26" t="inlineStr">
        <is>
          <t>L001</t>
        </is>
      </c>
      <c r="B26" s="6" t="n">
        <v>46008</v>
      </c>
      <c r="C26" t="inlineStr">
        <is>
          <t>EPA12</t>
        </is>
      </c>
      <c r="D26" t="n">
        <v>5</v>
      </c>
      <c r="E26" t="inlineStr">
        <is>
          <t>A002</t>
        </is>
      </c>
      <c r="F26" t="inlineStr">
        <is>
          <t>Faculty</t>
        </is>
      </c>
      <c r="G26" t="inlineStr">
        <is>
          <t>Ward</t>
        </is>
      </c>
      <c r="H26" t="inlineStr">
        <is>
          <t>CaseF</t>
        </is>
      </c>
      <c r="I26" s="3" t="inlineStr">
        <is>
          <t>Good clinical reasoning with key findings identified.</t>
        </is>
      </c>
      <c r="J26" s="3" t="inlineStr">
        <is>
          <t>Be more concise and state the plan earlier.</t>
        </is>
      </c>
      <c r="K26" t="n">
        <v>0</v>
      </c>
    </row>
    <row r="27">
      <c r="A27" t="inlineStr">
        <is>
          <t>L018</t>
        </is>
      </c>
      <c r="B27" s="6" t="n">
        <v>45939</v>
      </c>
      <c r="C27" t="inlineStr">
        <is>
          <t>EPA03</t>
        </is>
      </c>
      <c r="D27" t="n">
        <v>4</v>
      </c>
      <c r="E27" t="inlineStr">
        <is>
          <t>A013</t>
        </is>
      </c>
      <c r="F27" t="inlineStr">
        <is>
          <t>Nurse</t>
        </is>
      </c>
      <c r="G27" t="inlineStr">
        <is>
          <t>Sim</t>
        </is>
      </c>
      <c r="H27" t="inlineStr">
        <is>
          <t>CaseA</t>
        </is>
      </c>
      <c r="I27" s="3" t="n"/>
      <c r="J27" s="3" t="n"/>
      <c r="K27" t="n">
        <v>0</v>
      </c>
    </row>
    <row r="28">
      <c r="A28" t="inlineStr">
        <is>
          <t>L023</t>
        </is>
      </c>
      <c r="B28" s="6" t="n">
        <v>45943</v>
      </c>
      <c r="C28" t="inlineStr">
        <is>
          <t>EPA02</t>
        </is>
      </c>
      <c r="D28" t="n">
        <v>5</v>
      </c>
      <c r="E28" t="inlineStr">
        <is>
          <t>A012</t>
        </is>
      </c>
      <c r="F28" t="inlineStr">
        <is>
          <t>Faculty</t>
        </is>
      </c>
      <c r="G28" t="inlineStr">
        <is>
          <t>Ward</t>
        </is>
      </c>
      <c r="H28" t="inlineStr">
        <is>
          <t>CaseE</t>
        </is>
      </c>
      <c r="I28" s="3" t="inlineStr">
        <is>
          <t>Good clinical reasoning with key findings identified.</t>
        </is>
      </c>
      <c r="J28" s="3" t="inlineStr">
        <is>
          <t>Increase efficiency while maintaining safety checks.</t>
        </is>
      </c>
      <c r="K28" t="n">
        <v>0</v>
      </c>
    </row>
    <row r="29">
      <c r="A29" t="inlineStr">
        <is>
          <t>L015</t>
        </is>
      </c>
      <c r="B29" s="6" t="n">
        <v>45895</v>
      </c>
      <c r="C29" t="inlineStr">
        <is>
          <t>EPA07</t>
        </is>
      </c>
      <c r="D29" t="n">
        <v>4</v>
      </c>
      <c r="E29" t="inlineStr">
        <is>
          <t>A005</t>
        </is>
      </c>
      <c r="F29" t="inlineStr">
        <is>
          <t>Faculty</t>
        </is>
      </c>
      <c r="G29" t="inlineStr">
        <is>
          <t>Ward</t>
        </is>
      </c>
      <c r="H29" t="inlineStr">
        <is>
          <t>CaseB</t>
        </is>
      </c>
      <c r="I29" s="3" t="inlineStr">
        <is>
          <t>Effective teamwork and closed-loop communication.</t>
        </is>
      </c>
      <c r="J29" s="3" t="inlineStr">
        <is>
          <t>Increase efficiency while maintaining safety checks.</t>
        </is>
      </c>
      <c r="K29" t="n">
        <v>0</v>
      </c>
    </row>
    <row r="30">
      <c r="A30" t="inlineStr">
        <is>
          <t>L015</t>
        </is>
      </c>
      <c r="B30" s="6" t="n">
        <v>45930</v>
      </c>
      <c r="C30" t="inlineStr">
        <is>
          <t>EPA07</t>
        </is>
      </c>
      <c r="D30" t="n">
        <v>3</v>
      </c>
      <c r="E30" t="inlineStr">
        <is>
          <t>A015</t>
        </is>
      </c>
      <c r="F30" t="inlineStr">
        <is>
          <t>Faculty</t>
        </is>
      </c>
      <c r="G30" t="inlineStr">
        <is>
          <t>ED</t>
        </is>
      </c>
      <c r="H30" t="inlineStr">
        <is>
          <t>CaseG</t>
        </is>
      </c>
      <c r="I30" s="3" t="n"/>
      <c r="J30" s="3" t="n"/>
      <c r="K30" t="n">
        <v>0</v>
      </c>
    </row>
    <row r="31">
      <c r="A31" t="inlineStr">
        <is>
          <t>L023</t>
        </is>
      </c>
      <c r="B31" s="6" t="n">
        <v>46049</v>
      </c>
      <c r="C31" t="inlineStr">
        <is>
          <t>EPA09</t>
        </is>
      </c>
      <c r="D31" t="n">
        <v>4</v>
      </c>
      <c r="E31" t="inlineStr">
        <is>
          <t>A012</t>
        </is>
      </c>
      <c r="F31" t="inlineStr">
        <is>
          <t>Faculty</t>
        </is>
      </c>
      <c r="G31" t="inlineStr">
        <is>
          <t>ICU</t>
        </is>
      </c>
      <c r="H31" t="inlineStr">
        <is>
          <t>CaseE</t>
        </is>
      </c>
      <c r="I31" s="3" t="n"/>
      <c r="J31" s="3" t="n"/>
      <c r="K31" t="n">
        <v>0</v>
      </c>
    </row>
    <row r="32">
      <c r="A32" t="inlineStr">
        <is>
          <t>L008</t>
        </is>
      </c>
      <c r="B32" s="6" t="n">
        <v>46011</v>
      </c>
      <c r="C32" t="inlineStr">
        <is>
          <t>EPA06</t>
        </is>
      </c>
      <c r="D32" t="n">
        <v>4</v>
      </c>
      <c r="E32" t="inlineStr">
        <is>
          <t>A011</t>
        </is>
      </c>
      <c r="F32" t="inlineStr">
        <is>
          <t>Nurse</t>
        </is>
      </c>
      <c r="G32" t="inlineStr">
        <is>
          <t>Ward</t>
        </is>
      </c>
      <c r="H32" t="inlineStr">
        <is>
          <t>CaseF</t>
        </is>
      </c>
      <c r="I32" s="3" t="inlineStr">
        <is>
          <t>Appropriate prioritization and plan articulation.</t>
        </is>
      </c>
      <c r="J32" s="3" t="inlineStr">
        <is>
          <t>Increase efficiency while maintaining safety checks.</t>
        </is>
      </c>
      <c r="K32" t="n">
        <v>0</v>
      </c>
    </row>
    <row r="33">
      <c r="A33" t="inlineStr">
        <is>
          <t>L023</t>
        </is>
      </c>
      <c r="B33" s="6" t="n">
        <v>45975</v>
      </c>
      <c r="C33" t="inlineStr">
        <is>
          <t>EPA09</t>
        </is>
      </c>
      <c r="D33" t="n">
        <v>5</v>
      </c>
      <c r="E33" t="inlineStr">
        <is>
          <t>A010</t>
        </is>
      </c>
      <c r="F33" t="inlineStr">
        <is>
          <t>Faculty</t>
        </is>
      </c>
      <c r="G33" t="inlineStr">
        <is>
          <t>OPD</t>
        </is>
      </c>
      <c r="H33" t="inlineStr">
        <is>
          <t>CaseG</t>
        </is>
      </c>
      <c r="I33" s="3" t="n"/>
      <c r="J33" s="3" t="n"/>
      <c r="K33" t="n">
        <v>0</v>
      </c>
    </row>
    <row r="34">
      <c r="A34" t="inlineStr">
        <is>
          <t>L017</t>
        </is>
      </c>
      <c r="B34" s="6" t="n">
        <v>46016</v>
      </c>
      <c r="C34" t="inlineStr">
        <is>
          <t>EPA10</t>
        </is>
      </c>
      <c r="D34" t="n">
        <v>3</v>
      </c>
      <c r="E34" t="inlineStr">
        <is>
          <t>A007</t>
        </is>
      </c>
      <c r="F34" t="inlineStr">
        <is>
          <t>Faculty</t>
        </is>
      </c>
      <c r="G34" t="inlineStr">
        <is>
          <t>Sim</t>
        </is>
      </c>
      <c r="H34" t="inlineStr">
        <is>
          <t>CaseD</t>
        </is>
      </c>
      <c r="I34" s="3" t="inlineStr">
        <is>
          <t>Appropriate prioritization and plan articulation.</t>
        </is>
      </c>
      <c r="J34" s="3" t="inlineStr">
        <is>
          <t>Increase efficiency while maintaining safety checks.</t>
        </is>
      </c>
      <c r="K34" t="n">
        <v>0</v>
      </c>
    </row>
    <row r="35">
      <c r="A35" t="inlineStr">
        <is>
          <t>L016</t>
        </is>
      </c>
      <c r="B35" s="6" t="n">
        <v>46044</v>
      </c>
      <c r="C35" t="inlineStr">
        <is>
          <t>EPA10</t>
        </is>
      </c>
      <c r="D35" t="n">
        <v>4</v>
      </c>
      <c r="E35" t="inlineStr">
        <is>
          <t>A013</t>
        </is>
      </c>
      <c r="F35" t="inlineStr">
        <is>
          <t>Nurse</t>
        </is>
      </c>
      <c r="G35" t="inlineStr">
        <is>
          <t>OR</t>
        </is>
      </c>
      <c r="H35" t="inlineStr">
        <is>
          <t>CaseF</t>
        </is>
      </c>
      <c r="I35" s="3" t="inlineStr">
        <is>
          <t>Clear structure and communication.</t>
        </is>
      </c>
      <c r="J35" s="3" t="inlineStr">
        <is>
          <t>Be more concise and state the plan earlier.</t>
        </is>
      </c>
      <c r="K35" t="n">
        <v>0</v>
      </c>
    </row>
    <row r="36">
      <c r="A36" t="inlineStr">
        <is>
          <t>L005</t>
        </is>
      </c>
      <c r="B36" s="6" t="n">
        <v>46036</v>
      </c>
      <c r="C36" t="inlineStr">
        <is>
          <t>EPA07</t>
        </is>
      </c>
      <c r="D36" t="n">
        <v>3</v>
      </c>
      <c r="E36" t="inlineStr">
        <is>
          <t>A010</t>
        </is>
      </c>
      <c r="F36" t="inlineStr">
        <is>
          <t>Faculty</t>
        </is>
      </c>
      <c r="G36" t="inlineStr">
        <is>
          <t>ED</t>
        </is>
      </c>
      <c r="H36" t="inlineStr">
        <is>
          <t>CaseE</t>
        </is>
      </c>
      <c r="I36" s="3" t="inlineStr">
        <is>
          <t>Good clinical reasoning with key findings identified.</t>
        </is>
      </c>
      <c r="J36" s="3" t="inlineStr">
        <is>
          <t>Broaden the differential diagnosis and justify choices.</t>
        </is>
      </c>
      <c r="K36" t="n">
        <v>0</v>
      </c>
    </row>
    <row r="37">
      <c r="A37" t="inlineStr">
        <is>
          <t>L008</t>
        </is>
      </c>
      <c r="B37" s="6" t="n">
        <v>45934</v>
      </c>
      <c r="C37" t="inlineStr">
        <is>
          <t>EPA04</t>
        </is>
      </c>
      <c r="D37" t="n">
        <v>5</v>
      </c>
      <c r="E37" t="inlineStr">
        <is>
          <t>A011</t>
        </is>
      </c>
      <c r="F37" t="inlineStr">
        <is>
          <t>Nurse</t>
        </is>
      </c>
      <c r="G37" t="inlineStr">
        <is>
          <t>ICU</t>
        </is>
      </c>
      <c r="H37" t="inlineStr">
        <is>
          <t>CaseB</t>
        </is>
      </c>
      <c r="I37" s="3" t="n"/>
      <c r="J37" s="3" t="n"/>
      <c r="K37" t="n">
        <v>0</v>
      </c>
    </row>
    <row r="38">
      <c r="A38" t="inlineStr">
        <is>
          <t>L015</t>
        </is>
      </c>
      <c r="B38" s="6" t="n">
        <v>46055</v>
      </c>
      <c r="C38" t="inlineStr">
        <is>
          <t>EPA05</t>
        </is>
      </c>
      <c r="D38" t="n">
        <v>4</v>
      </c>
      <c r="E38" t="inlineStr">
        <is>
          <t>A007</t>
        </is>
      </c>
      <c r="F38" t="inlineStr">
        <is>
          <t>Faculty</t>
        </is>
      </c>
      <c r="G38" t="inlineStr">
        <is>
          <t>ICU</t>
        </is>
      </c>
      <c r="H38" t="inlineStr">
        <is>
          <t>CaseE</t>
        </is>
      </c>
      <c r="I38" s="3" t="inlineStr">
        <is>
          <t>Appropriate prioritization and plan articulation.</t>
        </is>
      </c>
      <c r="J38" s="3" t="inlineStr">
        <is>
          <t>Document key times and decisions more clearly.</t>
        </is>
      </c>
      <c r="K38" t="n">
        <v>0</v>
      </c>
    </row>
    <row r="39">
      <c r="A39" t="inlineStr">
        <is>
          <t>L018</t>
        </is>
      </c>
      <c r="B39" s="6" t="n">
        <v>45991</v>
      </c>
      <c r="C39" t="inlineStr">
        <is>
          <t>EPA08</t>
        </is>
      </c>
      <c r="D39" t="n">
        <v>4</v>
      </c>
      <c r="E39" t="inlineStr">
        <is>
          <t>A005</t>
        </is>
      </c>
      <c r="F39" t="inlineStr">
        <is>
          <t>Faculty</t>
        </is>
      </c>
      <c r="G39" t="inlineStr">
        <is>
          <t>ED</t>
        </is>
      </c>
      <c r="H39" t="inlineStr">
        <is>
          <t>CaseE</t>
        </is>
      </c>
      <c r="I39" s="3" t="inlineStr">
        <is>
          <t>Appropriate prioritization and plan articulation.</t>
        </is>
      </c>
      <c r="J39" s="3" t="n"/>
      <c r="K39" t="n">
        <v>0</v>
      </c>
    </row>
    <row r="40">
      <c r="A40" t="inlineStr">
        <is>
          <t>L006</t>
        </is>
      </c>
      <c r="B40" s="6" t="n">
        <v>46049</v>
      </c>
      <c r="C40" t="inlineStr">
        <is>
          <t>EPA02</t>
        </is>
      </c>
      <c r="D40" t="n">
        <v>2</v>
      </c>
      <c r="E40" t="inlineStr">
        <is>
          <t>A006</t>
        </is>
      </c>
      <c r="F40" t="inlineStr">
        <is>
          <t>Faculty</t>
        </is>
      </c>
      <c r="G40" t="inlineStr">
        <is>
          <t>ED</t>
        </is>
      </c>
      <c r="H40" t="inlineStr">
        <is>
          <t>CaseA</t>
        </is>
      </c>
      <c r="I40" s="3" t="inlineStr">
        <is>
          <t>Appropriate prioritization and plan articulation.</t>
        </is>
      </c>
      <c r="J40" s="3" t="inlineStr">
        <is>
          <t>Clarify escalation criteria and communicate proactively.</t>
        </is>
      </c>
      <c r="K40" t="n">
        <v>0</v>
      </c>
    </row>
    <row r="41">
      <c r="A41" t="inlineStr">
        <is>
          <t>L014</t>
        </is>
      </c>
      <c r="B41" s="6" t="n">
        <v>45908</v>
      </c>
      <c r="C41" t="inlineStr">
        <is>
          <t>EPA06</t>
        </is>
      </c>
      <c r="D41" t="n">
        <v>4</v>
      </c>
      <c r="E41" t="inlineStr">
        <is>
          <t>A001</t>
        </is>
      </c>
      <c r="F41" t="inlineStr">
        <is>
          <t>Faculty</t>
        </is>
      </c>
      <c r="G41" t="inlineStr">
        <is>
          <t>ED</t>
        </is>
      </c>
      <c r="H41" t="inlineStr">
        <is>
          <t>CaseB</t>
        </is>
      </c>
      <c r="I41" s="3" t="inlineStr">
        <is>
          <t>Appropriate prioritization and plan articulation.</t>
        </is>
      </c>
      <c r="J41" s="3" t="inlineStr">
        <is>
          <t>Clarify escalation criteria and communicate proactively.</t>
        </is>
      </c>
      <c r="K41" t="n">
        <v>0</v>
      </c>
    </row>
    <row r="42">
      <c r="A42" t="inlineStr">
        <is>
          <t>L020</t>
        </is>
      </c>
      <c r="B42" s="6" t="n">
        <v>46048</v>
      </c>
      <c r="C42" t="inlineStr">
        <is>
          <t>EPA10</t>
        </is>
      </c>
      <c r="D42" t="n">
        <v>4</v>
      </c>
      <c r="E42" t="inlineStr">
        <is>
          <t>A004</t>
        </is>
      </c>
      <c r="F42" t="inlineStr">
        <is>
          <t>Faculty</t>
        </is>
      </c>
      <c r="G42" t="inlineStr">
        <is>
          <t>Ward</t>
        </is>
      </c>
      <c r="H42" t="inlineStr">
        <is>
          <t>CaseC</t>
        </is>
      </c>
      <c r="I42" s="3" t="inlineStr">
        <is>
          <t>Effective teamwork and closed-loop communication.</t>
        </is>
      </c>
      <c r="J42" s="3" t="inlineStr">
        <is>
          <t>Document key times and decisions more clearly.</t>
        </is>
      </c>
      <c r="K42" t="n">
        <v>0</v>
      </c>
    </row>
    <row r="43">
      <c r="A43" t="inlineStr">
        <is>
          <t>L022</t>
        </is>
      </c>
      <c r="B43" s="6" t="n">
        <v>46044</v>
      </c>
      <c r="C43" t="inlineStr">
        <is>
          <t>EPA07</t>
        </is>
      </c>
      <c r="D43" t="n">
        <v>2</v>
      </c>
      <c r="E43" t="inlineStr">
        <is>
          <t>A001</t>
        </is>
      </c>
      <c r="F43" t="inlineStr">
        <is>
          <t>Faculty</t>
        </is>
      </c>
      <c r="G43" t="inlineStr">
        <is>
          <t>ICU</t>
        </is>
      </c>
      <c r="H43" t="inlineStr">
        <is>
          <t>CaseE</t>
        </is>
      </c>
      <c r="I43" s="3" t="n"/>
      <c r="J43" s="3" t="n"/>
      <c r="K43" t="n">
        <v>0</v>
      </c>
    </row>
    <row r="44">
      <c r="A44" t="inlineStr">
        <is>
          <t>L002</t>
        </is>
      </c>
      <c r="B44" s="6" t="n">
        <v>46034</v>
      </c>
      <c r="C44" t="inlineStr">
        <is>
          <t>EPA07</t>
        </is>
      </c>
      <c r="D44" t="n">
        <v>3</v>
      </c>
      <c r="E44" t="inlineStr">
        <is>
          <t>A004</t>
        </is>
      </c>
      <c r="F44" t="inlineStr">
        <is>
          <t>Faculty</t>
        </is>
      </c>
      <c r="G44" t="inlineStr">
        <is>
          <t>Ward</t>
        </is>
      </c>
      <c r="H44" t="inlineStr">
        <is>
          <t>CaseC</t>
        </is>
      </c>
      <c r="I44" s="3" t="inlineStr">
        <is>
          <t>Good clinical reasoning with key findings identified.</t>
        </is>
      </c>
      <c r="J44" s="3" t="inlineStr">
        <is>
          <t>Increase efficiency while maintaining safety checks.</t>
        </is>
      </c>
      <c r="K44" t="n">
        <v>0</v>
      </c>
    </row>
    <row r="45">
      <c r="A45" t="inlineStr">
        <is>
          <t>L012</t>
        </is>
      </c>
      <c r="B45" s="6" t="n">
        <v>46012</v>
      </c>
      <c r="C45" t="inlineStr">
        <is>
          <t>EPA10</t>
        </is>
      </c>
      <c r="D45" t="n">
        <v>4</v>
      </c>
      <c r="E45" t="inlineStr">
        <is>
          <t>A007</t>
        </is>
      </c>
      <c r="F45" t="inlineStr">
        <is>
          <t>Faculty</t>
        </is>
      </c>
      <c r="G45" t="inlineStr">
        <is>
          <t>OR</t>
        </is>
      </c>
      <c r="H45" t="inlineStr">
        <is>
          <t>CaseE</t>
        </is>
      </c>
      <c r="I45" s="3" t="n"/>
      <c r="J45" s="3" t="n"/>
      <c r="K45" t="n">
        <v>0</v>
      </c>
    </row>
    <row r="46">
      <c r="A46" t="inlineStr">
        <is>
          <t>L024</t>
        </is>
      </c>
      <c r="B46" s="6" t="n">
        <v>45924</v>
      </c>
      <c r="C46" t="inlineStr">
        <is>
          <t>EPA02</t>
        </is>
      </c>
      <c r="D46" t="n">
        <v>4</v>
      </c>
      <c r="E46" t="inlineStr">
        <is>
          <t>A011</t>
        </is>
      </c>
      <c r="F46" t="inlineStr">
        <is>
          <t>Nurse</t>
        </is>
      </c>
      <c r="G46" t="inlineStr">
        <is>
          <t>ED</t>
        </is>
      </c>
      <c r="H46" t="inlineStr">
        <is>
          <t>CaseE</t>
        </is>
      </c>
      <c r="I46" s="3" t="inlineStr">
        <is>
          <t>Clear structure and communication.</t>
        </is>
      </c>
      <c r="J46" s="3" t="inlineStr">
        <is>
          <t>Document key times and decisions more clearly.</t>
        </is>
      </c>
      <c r="K46" t="n">
        <v>0</v>
      </c>
    </row>
    <row r="47">
      <c r="A47" t="inlineStr">
        <is>
          <t>L008</t>
        </is>
      </c>
      <c r="B47" s="6" t="n">
        <v>45951</v>
      </c>
      <c r="C47" t="inlineStr">
        <is>
          <t>EPA11</t>
        </is>
      </c>
      <c r="D47" t="n">
        <v>4</v>
      </c>
      <c r="E47" t="inlineStr">
        <is>
          <t>A007</t>
        </is>
      </c>
      <c r="F47" t="inlineStr">
        <is>
          <t>Faculty</t>
        </is>
      </c>
      <c r="G47" t="inlineStr">
        <is>
          <t>Sim</t>
        </is>
      </c>
      <c r="H47" t="inlineStr">
        <is>
          <t>CaseF</t>
        </is>
      </c>
      <c r="I47" s="3" t="inlineStr">
        <is>
          <t>Professional and patient-centered approach.</t>
        </is>
      </c>
      <c r="J47" s="3" t="n"/>
      <c r="K47" t="n">
        <v>0</v>
      </c>
    </row>
    <row r="48">
      <c r="A48" t="inlineStr">
        <is>
          <t>L017</t>
        </is>
      </c>
      <c r="B48" s="6" t="n">
        <v>46048</v>
      </c>
      <c r="C48" t="inlineStr">
        <is>
          <t>EPA08</t>
        </is>
      </c>
      <c r="D48" t="n">
        <v>3</v>
      </c>
      <c r="E48" t="inlineStr">
        <is>
          <t>A008</t>
        </is>
      </c>
      <c r="F48" t="inlineStr">
        <is>
          <t>AlliedHealth</t>
        </is>
      </c>
      <c r="G48" t="inlineStr">
        <is>
          <t>Sim</t>
        </is>
      </c>
      <c r="H48" t="inlineStr">
        <is>
          <t>CaseB</t>
        </is>
      </c>
      <c r="I48" s="3" t="n"/>
      <c r="J48" s="3" t="n"/>
      <c r="K48" t="n">
        <v>0</v>
      </c>
    </row>
    <row r="49">
      <c r="A49" t="inlineStr">
        <is>
          <t>L018</t>
        </is>
      </c>
      <c r="B49" s="6" t="n">
        <v>46067</v>
      </c>
      <c r="C49" t="inlineStr">
        <is>
          <t>EPA03</t>
        </is>
      </c>
      <c r="D49" t="n">
        <v>4</v>
      </c>
      <c r="E49" t="inlineStr">
        <is>
          <t>A014</t>
        </is>
      </c>
      <c r="F49" t="inlineStr">
        <is>
          <t>Faculty</t>
        </is>
      </c>
      <c r="G49" t="inlineStr">
        <is>
          <t>Sim</t>
        </is>
      </c>
      <c r="H49" t="inlineStr">
        <is>
          <t>CaseG</t>
        </is>
      </c>
      <c r="I49" s="3" t="inlineStr">
        <is>
          <t>Appropriate prioritization and plan articulation.</t>
        </is>
      </c>
      <c r="J49" s="3" t="inlineStr">
        <is>
          <t>Clarify escalation criteria and communicate proactively.</t>
        </is>
      </c>
      <c r="K49" t="n">
        <v>0</v>
      </c>
    </row>
    <row r="50">
      <c r="A50" t="inlineStr">
        <is>
          <t>L017</t>
        </is>
      </c>
      <c r="B50" s="6" t="n">
        <v>46069</v>
      </c>
      <c r="C50" t="inlineStr">
        <is>
          <t>EPA11</t>
        </is>
      </c>
      <c r="D50" t="n">
        <v>3</v>
      </c>
      <c r="E50" t="inlineStr">
        <is>
          <t>A011</t>
        </is>
      </c>
      <c r="F50" t="inlineStr">
        <is>
          <t>Nurse</t>
        </is>
      </c>
      <c r="G50" t="inlineStr">
        <is>
          <t>ED</t>
        </is>
      </c>
      <c r="H50" t="inlineStr">
        <is>
          <t>CaseC</t>
        </is>
      </c>
      <c r="I50" s="3" t="inlineStr">
        <is>
          <t>Professional and patient-centered approach.</t>
        </is>
      </c>
      <c r="J50" s="3" t="inlineStr">
        <is>
          <t>Be more concise and state the plan earlier.</t>
        </is>
      </c>
      <c r="K50" t="n">
        <v>0</v>
      </c>
    </row>
    <row r="51">
      <c r="A51" t="inlineStr">
        <is>
          <t>L020</t>
        </is>
      </c>
      <c r="B51" s="6" t="n">
        <v>45961</v>
      </c>
      <c r="C51" t="inlineStr">
        <is>
          <t>EPA10</t>
        </is>
      </c>
      <c r="D51" t="n">
        <v>3</v>
      </c>
      <c r="E51" t="inlineStr">
        <is>
          <t>A015</t>
        </is>
      </c>
      <c r="F51" t="inlineStr">
        <is>
          <t>Faculty</t>
        </is>
      </c>
      <c r="G51" t="inlineStr">
        <is>
          <t>ED</t>
        </is>
      </c>
      <c r="H51" t="inlineStr">
        <is>
          <t>CaseF</t>
        </is>
      </c>
      <c r="I51" s="3" t="inlineStr">
        <is>
          <t>Appropriate prioritization and plan articulation.</t>
        </is>
      </c>
      <c r="J51" s="3" t="inlineStr">
        <is>
          <t>Increase efficiency while maintaining safety checks.</t>
        </is>
      </c>
      <c r="K51" t="n">
        <v>0</v>
      </c>
    </row>
    <row r="52">
      <c r="A52" t="inlineStr">
        <is>
          <t>L006</t>
        </is>
      </c>
      <c r="B52" s="6" t="n">
        <v>45940</v>
      </c>
      <c r="C52" t="inlineStr">
        <is>
          <t>EPA04</t>
        </is>
      </c>
      <c r="D52" t="n">
        <v>3</v>
      </c>
      <c r="E52" t="inlineStr">
        <is>
          <t>A004</t>
        </is>
      </c>
      <c r="F52" t="inlineStr">
        <is>
          <t>Faculty</t>
        </is>
      </c>
      <c r="G52" t="inlineStr">
        <is>
          <t>OR</t>
        </is>
      </c>
      <c r="H52" t="inlineStr">
        <is>
          <t>CaseG</t>
        </is>
      </c>
      <c r="I52" s="3" t="inlineStr">
        <is>
          <t>Good clinical reasoning with key findings identified.</t>
        </is>
      </c>
      <c r="J52" s="3" t="inlineStr">
        <is>
          <t>Document key times and decisions more clearly.</t>
        </is>
      </c>
      <c r="K52" t="n">
        <v>0</v>
      </c>
    </row>
    <row r="53">
      <c r="A53" t="inlineStr">
        <is>
          <t>L015</t>
        </is>
      </c>
      <c r="B53" s="6" t="n">
        <v>46048</v>
      </c>
      <c r="C53" t="inlineStr">
        <is>
          <t>EPA05</t>
        </is>
      </c>
      <c r="D53" t="n">
        <v>4</v>
      </c>
      <c r="E53" t="inlineStr">
        <is>
          <t>A002</t>
        </is>
      </c>
      <c r="F53" t="inlineStr">
        <is>
          <t>Faculty</t>
        </is>
      </c>
      <c r="G53" t="inlineStr">
        <is>
          <t>OR</t>
        </is>
      </c>
      <c r="H53" t="inlineStr">
        <is>
          <t>CaseD</t>
        </is>
      </c>
      <c r="I53" s="3" t="inlineStr">
        <is>
          <t>Professional and patient-centered approach.</t>
        </is>
      </c>
      <c r="J53" s="3" t="inlineStr">
        <is>
          <t>Document key times and decisions more clearly.</t>
        </is>
      </c>
      <c r="K53" t="n">
        <v>0</v>
      </c>
    </row>
    <row r="54">
      <c r="A54" t="inlineStr">
        <is>
          <t>L013</t>
        </is>
      </c>
      <c r="B54" s="6" t="n">
        <v>45969</v>
      </c>
      <c r="C54" t="inlineStr">
        <is>
          <t>EPA11</t>
        </is>
      </c>
      <c r="D54" t="n">
        <v>3</v>
      </c>
      <c r="E54" t="inlineStr">
        <is>
          <t>A014</t>
        </is>
      </c>
      <c r="F54" t="inlineStr">
        <is>
          <t>Faculty</t>
        </is>
      </c>
      <c r="G54" t="inlineStr">
        <is>
          <t>ICU</t>
        </is>
      </c>
      <c r="H54" t="inlineStr">
        <is>
          <t>CaseG</t>
        </is>
      </c>
      <c r="I54" s="3" t="inlineStr">
        <is>
          <t>Appropriate prioritization and plan articulation.</t>
        </is>
      </c>
      <c r="J54" s="3" t="n"/>
      <c r="K54" t="n">
        <v>0</v>
      </c>
    </row>
    <row r="55">
      <c r="A55" t="inlineStr">
        <is>
          <t>L016</t>
        </is>
      </c>
      <c r="B55" s="6" t="n">
        <v>46049</v>
      </c>
      <c r="C55" t="inlineStr">
        <is>
          <t>EPA09</t>
        </is>
      </c>
      <c r="D55" t="n">
        <v>3</v>
      </c>
      <c r="E55" t="inlineStr">
        <is>
          <t>A006</t>
        </is>
      </c>
      <c r="F55" t="inlineStr">
        <is>
          <t>Faculty</t>
        </is>
      </c>
      <c r="G55" t="inlineStr">
        <is>
          <t>ED</t>
        </is>
      </c>
      <c r="H55" t="inlineStr">
        <is>
          <t>CaseC</t>
        </is>
      </c>
      <c r="I55" s="3" t="n"/>
      <c r="J55" s="3" t="n"/>
      <c r="K55" t="n">
        <v>0</v>
      </c>
    </row>
    <row r="56">
      <c r="A56" t="inlineStr">
        <is>
          <t>L024</t>
        </is>
      </c>
      <c r="B56" s="6" t="n">
        <v>45904</v>
      </c>
      <c r="C56" t="inlineStr">
        <is>
          <t>EPA03</t>
        </is>
      </c>
      <c r="D56" t="n">
        <v>4</v>
      </c>
      <c r="E56" t="inlineStr">
        <is>
          <t>A008</t>
        </is>
      </c>
      <c r="F56" t="inlineStr">
        <is>
          <t>AlliedHealth</t>
        </is>
      </c>
      <c r="G56" t="inlineStr">
        <is>
          <t>Sim</t>
        </is>
      </c>
      <c r="H56" t="inlineStr">
        <is>
          <t>CaseD</t>
        </is>
      </c>
      <c r="I56" s="3" t="n"/>
      <c r="J56" s="3" t="n"/>
      <c r="K56" t="n">
        <v>0</v>
      </c>
    </row>
    <row r="57">
      <c r="A57" t="inlineStr">
        <is>
          <t>L014</t>
        </is>
      </c>
      <c r="B57" s="6" t="n">
        <v>46059</v>
      </c>
      <c r="C57" t="inlineStr">
        <is>
          <t>EPA10</t>
        </is>
      </c>
      <c r="D57" t="n">
        <v>5</v>
      </c>
      <c r="E57" t="inlineStr">
        <is>
          <t>A001</t>
        </is>
      </c>
      <c r="F57" t="inlineStr">
        <is>
          <t>Faculty</t>
        </is>
      </c>
      <c r="G57" t="inlineStr">
        <is>
          <t>OPD</t>
        </is>
      </c>
      <c r="H57" t="inlineStr">
        <is>
          <t>CaseC</t>
        </is>
      </c>
      <c r="I57" s="3" t="inlineStr">
        <is>
          <t>Effective teamwork and closed-loop communication.</t>
        </is>
      </c>
      <c r="J57" s="3" t="inlineStr">
        <is>
          <t>Increase efficiency while maintaining safety checks.</t>
        </is>
      </c>
      <c r="K57" t="n">
        <v>0</v>
      </c>
    </row>
    <row r="58">
      <c r="A58" t="inlineStr">
        <is>
          <t>L011</t>
        </is>
      </c>
      <c r="B58" s="6" t="n">
        <v>46014</v>
      </c>
      <c r="C58" t="inlineStr">
        <is>
          <t>EPA10</t>
        </is>
      </c>
      <c r="D58" t="n">
        <v>3</v>
      </c>
      <c r="E58" t="inlineStr">
        <is>
          <t>A007</t>
        </is>
      </c>
      <c r="F58" t="inlineStr">
        <is>
          <t>Faculty</t>
        </is>
      </c>
      <c r="G58" t="inlineStr">
        <is>
          <t>ED</t>
        </is>
      </c>
      <c r="H58" t="inlineStr">
        <is>
          <t>CaseA</t>
        </is>
      </c>
      <c r="I58" s="3" t="inlineStr">
        <is>
          <t>Good clinical reasoning with key findings identified.</t>
        </is>
      </c>
      <c r="J58" s="3" t="inlineStr">
        <is>
          <t>Increase efficiency while maintaining safety checks.</t>
        </is>
      </c>
      <c r="K58" t="n">
        <v>0</v>
      </c>
    </row>
    <row r="59">
      <c r="A59" t="inlineStr">
        <is>
          <t>L007</t>
        </is>
      </c>
      <c r="B59" s="6" t="n">
        <v>45925</v>
      </c>
      <c r="C59" t="inlineStr">
        <is>
          <t>EPA07</t>
        </is>
      </c>
      <c r="D59" t="n">
        <v>2</v>
      </c>
      <c r="E59" t="inlineStr">
        <is>
          <t>A003</t>
        </is>
      </c>
      <c r="F59" t="inlineStr">
        <is>
          <t>Faculty</t>
        </is>
      </c>
      <c r="G59" t="inlineStr">
        <is>
          <t>OPD</t>
        </is>
      </c>
      <c r="H59" t="inlineStr">
        <is>
          <t>CaseC</t>
        </is>
      </c>
      <c r="I59" s="3" t="inlineStr">
        <is>
          <t>Professional and patient-centered approach.</t>
        </is>
      </c>
      <c r="J59" s="3" t="inlineStr">
        <is>
          <t>Increase efficiency while maintaining safety checks.</t>
        </is>
      </c>
      <c r="K59" t="n">
        <v>0</v>
      </c>
    </row>
    <row r="60">
      <c r="A60" t="inlineStr">
        <is>
          <t>L015</t>
        </is>
      </c>
      <c r="B60" s="6" t="n">
        <v>45958</v>
      </c>
      <c r="C60" t="inlineStr">
        <is>
          <t>EPA09</t>
        </is>
      </c>
      <c r="D60" t="n">
        <v>4</v>
      </c>
      <c r="E60" t="inlineStr">
        <is>
          <t>A012</t>
        </is>
      </c>
      <c r="F60" t="inlineStr">
        <is>
          <t>Faculty</t>
        </is>
      </c>
      <c r="G60" t="inlineStr">
        <is>
          <t>ICU</t>
        </is>
      </c>
      <c r="H60" t="inlineStr">
        <is>
          <t>CaseG</t>
        </is>
      </c>
      <c r="I60" s="3" t="inlineStr">
        <is>
          <t>Effective teamwork and closed-loop communication.</t>
        </is>
      </c>
      <c r="J60" s="3" t="n"/>
      <c r="K60" t="n">
        <v>0</v>
      </c>
    </row>
    <row r="61">
      <c r="A61" t="inlineStr">
        <is>
          <t>L008</t>
        </is>
      </c>
      <c r="B61" s="6" t="n">
        <v>45936</v>
      </c>
      <c r="C61" t="inlineStr">
        <is>
          <t>EPA09</t>
        </is>
      </c>
      <c r="D61" t="n">
        <v>3</v>
      </c>
      <c r="E61" t="inlineStr">
        <is>
          <t>A010</t>
        </is>
      </c>
      <c r="F61" t="inlineStr">
        <is>
          <t>Faculty</t>
        </is>
      </c>
      <c r="G61" t="inlineStr">
        <is>
          <t>Ward</t>
        </is>
      </c>
      <c r="H61" t="inlineStr">
        <is>
          <t>CaseF</t>
        </is>
      </c>
      <c r="I61" s="3" t="inlineStr">
        <is>
          <t>Good clinical reasoning with key findings identified.</t>
        </is>
      </c>
      <c r="J61" s="3" t="inlineStr">
        <is>
          <t>Clarify escalation criteria and communicate proactively.</t>
        </is>
      </c>
      <c r="K61" t="n">
        <v>0</v>
      </c>
    </row>
    <row r="62">
      <c r="A62" t="inlineStr">
        <is>
          <t>L018</t>
        </is>
      </c>
      <c r="B62" s="6" t="n">
        <v>45980</v>
      </c>
      <c r="C62" t="inlineStr">
        <is>
          <t>EPA01</t>
        </is>
      </c>
      <c r="D62" t="n">
        <v>4</v>
      </c>
      <c r="E62" t="inlineStr">
        <is>
          <t>A007</t>
        </is>
      </c>
      <c r="F62" t="inlineStr">
        <is>
          <t>Faculty</t>
        </is>
      </c>
      <c r="G62" t="inlineStr">
        <is>
          <t>ED</t>
        </is>
      </c>
      <c r="H62" t="inlineStr">
        <is>
          <t>CaseD</t>
        </is>
      </c>
      <c r="I62" s="3" t="inlineStr">
        <is>
          <t>Good clinical reasoning with key findings identified.</t>
        </is>
      </c>
      <c r="J62" s="3" t="inlineStr">
        <is>
          <t>Broaden the differential diagnosis and justify choices.</t>
        </is>
      </c>
      <c r="K62" t="n">
        <v>0</v>
      </c>
    </row>
    <row r="63">
      <c r="A63" t="inlineStr">
        <is>
          <t>L014</t>
        </is>
      </c>
      <c r="B63" s="6" t="n">
        <v>46032</v>
      </c>
      <c r="C63" t="inlineStr">
        <is>
          <t>EPA01</t>
        </is>
      </c>
      <c r="D63" t="n">
        <v>5</v>
      </c>
      <c r="E63" t="inlineStr">
        <is>
          <t>A013</t>
        </is>
      </c>
      <c r="F63" t="inlineStr">
        <is>
          <t>Nurse</t>
        </is>
      </c>
      <c r="G63" t="inlineStr">
        <is>
          <t>OPD</t>
        </is>
      </c>
      <c r="H63" t="inlineStr">
        <is>
          <t>CaseA</t>
        </is>
      </c>
      <c r="I63" s="3" t="inlineStr">
        <is>
          <t>Good clinical reasoning with key findings identified.</t>
        </is>
      </c>
      <c r="J63" s="3" t="inlineStr">
        <is>
          <t>Increase efficiency while maintaining safety checks.</t>
        </is>
      </c>
      <c r="K63" t="n">
        <v>0</v>
      </c>
    </row>
    <row r="64">
      <c r="A64" t="inlineStr">
        <is>
          <t>L016</t>
        </is>
      </c>
      <c r="B64" s="6" t="n">
        <v>46055</v>
      </c>
      <c r="C64" t="inlineStr">
        <is>
          <t>EPA12</t>
        </is>
      </c>
      <c r="D64" t="n">
        <v>4</v>
      </c>
      <c r="E64" t="inlineStr">
        <is>
          <t>A011</t>
        </is>
      </c>
      <c r="F64" t="inlineStr">
        <is>
          <t>Nurse</t>
        </is>
      </c>
      <c r="G64" t="inlineStr">
        <is>
          <t>OPD</t>
        </is>
      </c>
      <c r="H64" t="inlineStr">
        <is>
          <t>CaseA</t>
        </is>
      </c>
      <c r="I64" s="3" t="inlineStr">
        <is>
          <t>Appropriate prioritization and plan articulation.</t>
        </is>
      </c>
      <c r="J64" s="3" t="n"/>
      <c r="K64" t="n">
        <v>0</v>
      </c>
    </row>
    <row r="65">
      <c r="A65" t="inlineStr">
        <is>
          <t>L007</t>
        </is>
      </c>
      <c r="B65" s="6" t="n">
        <v>45903</v>
      </c>
      <c r="C65" t="inlineStr">
        <is>
          <t>EPA09</t>
        </is>
      </c>
      <c r="D65" t="n">
        <v>3</v>
      </c>
      <c r="E65" t="inlineStr">
        <is>
          <t>A001</t>
        </is>
      </c>
      <c r="F65" t="inlineStr">
        <is>
          <t>Faculty</t>
        </is>
      </c>
      <c r="G65" t="inlineStr">
        <is>
          <t>OR</t>
        </is>
      </c>
      <c r="H65" t="inlineStr">
        <is>
          <t>CaseB</t>
        </is>
      </c>
      <c r="I65" s="3" t="inlineStr">
        <is>
          <t>Effective teamwork and closed-loop communication.</t>
        </is>
      </c>
      <c r="J65" s="3" t="n"/>
      <c r="K65" t="n">
        <v>0</v>
      </c>
    </row>
    <row r="66">
      <c r="A66" t="inlineStr">
        <is>
          <t>L011</t>
        </is>
      </c>
      <c r="B66" s="6" t="n">
        <v>45919</v>
      </c>
      <c r="C66" t="inlineStr">
        <is>
          <t>EPA01</t>
        </is>
      </c>
      <c r="D66" t="n">
        <v>4</v>
      </c>
      <c r="E66" t="inlineStr">
        <is>
          <t>A011</t>
        </is>
      </c>
      <c r="F66" t="inlineStr">
        <is>
          <t>Nurse</t>
        </is>
      </c>
      <c r="G66" t="inlineStr">
        <is>
          <t>ED</t>
        </is>
      </c>
      <c r="H66" t="inlineStr">
        <is>
          <t>CaseA</t>
        </is>
      </c>
      <c r="I66" s="3" t="inlineStr">
        <is>
          <t>Good clinical reasoning with key findings identified.</t>
        </is>
      </c>
      <c r="J66" s="3" t="n"/>
      <c r="K66" t="n">
        <v>0</v>
      </c>
    </row>
    <row r="67">
      <c r="A67" t="inlineStr">
        <is>
          <t>L021</t>
        </is>
      </c>
      <c r="B67" s="6" t="n">
        <v>45934</v>
      </c>
      <c r="C67" t="inlineStr">
        <is>
          <t>EPA12</t>
        </is>
      </c>
      <c r="D67" t="n">
        <v>3</v>
      </c>
      <c r="E67" t="inlineStr">
        <is>
          <t>A010</t>
        </is>
      </c>
      <c r="F67" t="inlineStr">
        <is>
          <t>Faculty</t>
        </is>
      </c>
      <c r="G67" t="inlineStr">
        <is>
          <t>ICU</t>
        </is>
      </c>
      <c r="H67" t="inlineStr">
        <is>
          <t>CaseG</t>
        </is>
      </c>
      <c r="I67" s="3" t="inlineStr">
        <is>
          <t>Good clinical reasoning with key findings identified.</t>
        </is>
      </c>
      <c r="J67" s="3" t="inlineStr">
        <is>
          <t>Clarify escalation criteria and communicate proactively.</t>
        </is>
      </c>
      <c r="K67" t="n">
        <v>0</v>
      </c>
    </row>
    <row r="68">
      <c r="A68" t="inlineStr">
        <is>
          <t>L010</t>
        </is>
      </c>
      <c r="B68" s="6" t="n">
        <v>45946</v>
      </c>
      <c r="C68" t="inlineStr">
        <is>
          <t>EPA03</t>
        </is>
      </c>
      <c r="D68" t="n">
        <v>3</v>
      </c>
      <c r="E68" t="inlineStr">
        <is>
          <t>A010</t>
        </is>
      </c>
      <c r="F68" t="inlineStr">
        <is>
          <t>Faculty</t>
        </is>
      </c>
      <c r="G68" t="inlineStr">
        <is>
          <t>Ward</t>
        </is>
      </c>
      <c r="H68" t="inlineStr">
        <is>
          <t>CaseA</t>
        </is>
      </c>
      <c r="I68" s="3" t="n"/>
      <c r="J68" s="3" t="n"/>
      <c r="K68" t="n">
        <v>0</v>
      </c>
    </row>
    <row r="69">
      <c r="A69" t="inlineStr">
        <is>
          <t>L018</t>
        </is>
      </c>
      <c r="B69" s="6" t="n">
        <v>46008</v>
      </c>
      <c r="C69" t="inlineStr">
        <is>
          <t>EPA01</t>
        </is>
      </c>
      <c r="D69" t="n">
        <v>5</v>
      </c>
      <c r="E69" t="inlineStr">
        <is>
          <t>A005</t>
        </is>
      </c>
      <c r="F69" t="inlineStr">
        <is>
          <t>Faculty</t>
        </is>
      </c>
      <c r="G69" t="inlineStr">
        <is>
          <t>OPD</t>
        </is>
      </c>
      <c r="H69" t="inlineStr">
        <is>
          <t>CaseG</t>
        </is>
      </c>
      <c r="I69" s="3" t="inlineStr">
        <is>
          <t>Appropriate prioritization and plan articulation.</t>
        </is>
      </c>
      <c r="J69" s="3" t="inlineStr">
        <is>
          <t>Document key times and decisions more clearly.</t>
        </is>
      </c>
      <c r="K69" t="n">
        <v>0</v>
      </c>
    </row>
    <row r="70">
      <c r="A70" t="inlineStr">
        <is>
          <t>L020</t>
        </is>
      </c>
      <c r="B70" s="6" t="n">
        <v>45940</v>
      </c>
      <c r="C70" t="inlineStr">
        <is>
          <t>EPA04</t>
        </is>
      </c>
      <c r="D70" t="n">
        <v>3</v>
      </c>
      <c r="E70" t="inlineStr">
        <is>
          <t>A001</t>
        </is>
      </c>
      <c r="F70" t="inlineStr">
        <is>
          <t>Faculty</t>
        </is>
      </c>
      <c r="G70" t="inlineStr">
        <is>
          <t>ICU</t>
        </is>
      </c>
      <c r="H70" t="inlineStr">
        <is>
          <t>CaseG</t>
        </is>
      </c>
      <c r="I70" s="3" t="inlineStr">
        <is>
          <t>Appropriate prioritization and plan articulation.</t>
        </is>
      </c>
      <c r="J70" s="3" t="inlineStr">
        <is>
          <t>Clarify escalation criteria and communicate proactively.</t>
        </is>
      </c>
      <c r="K70" t="n">
        <v>0</v>
      </c>
    </row>
    <row r="71">
      <c r="A71" t="inlineStr">
        <is>
          <t>L011</t>
        </is>
      </c>
      <c r="B71" s="6" t="n">
        <v>46040</v>
      </c>
      <c r="C71" t="inlineStr">
        <is>
          <t>EPA04</t>
        </is>
      </c>
      <c r="D71" t="n">
        <v>3</v>
      </c>
      <c r="E71" t="inlineStr">
        <is>
          <t>A003</t>
        </is>
      </c>
      <c r="F71" t="inlineStr">
        <is>
          <t>Faculty</t>
        </is>
      </c>
      <c r="G71" t="inlineStr">
        <is>
          <t>OR</t>
        </is>
      </c>
      <c r="H71" t="inlineStr">
        <is>
          <t>CaseC</t>
        </is>
      </c>
      <c r="I71" s="3" t="n"/>
      <c r="J71" s="3" t="n"/>
      <c r="K71" t="n">
        <v>0</v>
      </c>
    </row>
    <row r="72">
      <c r="A72" t="inlineStr">
        <is>
          <t>L020</t>
        </is>
      </c>
      <c r="B72" s="6" t="n">
        <v>45990</v>
      </c>
      <c r="C72" t="inlineStr">
        <is>
          <t>EPA04</t>
        </is>
      </c>
      <c r="D72" t="n">
        <v>3</v>
      </c>
      <c r="E72" t="inlineStr">
        <is>
          <t>A005</t>
        </is>
      </c>
      <c r="F72" t="inlineStr">
        <is>
          <t>Faculty</t>
        </is>
      </c>
      <c r="G72" t="inlineStr">
        <is>
          <t>OR</t>
        </is>
      </c>
      <c r="H72" t="inlineStr">
        <is>
          <t>CaseF</t>
        </is>
      </c>
      <c r="I72" s="3" t="n"/>
      <c r="J72" s="3" t="n"/>
      <c r="K72" t="n">
        <v>0</v>
      </c>
    </row>
    <row r="73">
      <c r="A73" t="inlineStr">
        <is>
          <t>L017</t>
        </is>
      </c>
      <c r="B73" s="6" t="n">
        <v>45917</v>
      </c>
      <c r="C73" t="inlineStr">
        <is>
          <t>EPA03</t>
        </is>
      </c>
      <c r="D73" t="n">
        <v>4</v>
      </c>
      <c r="E73" t="inlineStr">
        <is>
          <t>A010</t>
        </is>
      </c>
      <c r="F73" t="inlineStr">
        <is>
          <t>Faculty</t>
        </is>
      </c>
      <c r="G73" t="inlineStr">
        <is>
          <t>OPD</t>
        </is>
      </c>
      <c r="H73" t="inlineStr">
        <is>
          <t>CaseF</t>
        </is>
      </c>
      <c r="I73" s="3" t="inlineStr">
        <is>
          <t>Clear structure and communication.</t>
        </is>
      </c>
      <c r="J73" s="3" t="inlineStr">
        <is>
          <t>Document key times and decisions more clearly.</t>
        </is>
      </c>
      <c r="K73" t="n">
        <v>0</v>
      </c>
    </row>
    <row r="74">
      <c r="A74" t="inlineStr">
        <is>
          <t>L025</t>
        </is>
      </c>
      <c r="B74" s="6" t="n">
        <v>45965</v>
      </c>
      <c r="C74" t="inlineStr">
        <is>
          <t>EPA07</t>
        </is>
      </c>
      <c r="D74" t="n">
        <v>4</v>
      </c>
      <c r="E74" t="inlineStr">
        <is>
          <t>A006</t>
        </is>
      </c>
      <c r="F74" t="inlineStr">
        <is>
          <t>Faculty</t>
        </is>
      </c>
      <c r="G74" t="inlineStr">
        <is>
          <t>ICU</t>
        </is>
      </c>
      <c r="H74" t="inlineStr">
        <is>
          <t>CaseE</t>
        </is>
      </c>
      <c r="I74" s="3" t="inlineStr">
        <is>
          <t>Effective teamwork and closed-loop communication.</t>
        </is>
      </c>
      <c r="J74" s="3" t="inlineStr">
        <is>
          <t>Increase efficiency while maintaining safety checks.</t>
        </is>
      </c>
      <c r="K74" t="n">
        <v>0</v>
      </c>
    </row>
    <row r="75">
      <c r="A75" t="inlineStr">
        <is>
          <t>L012</t>
        </is>
      </c>
      <c r="B75" s="6" t="n">
        <v>45981</v>
      </c>
      <c r="C75" t="inlineStr">
        <is>
          <t>EPA11</t>
        </is>
      </c>
      <c r="D75" t="n">
        <v>4</v>
      </c>
      <c r="E75" t="inlineStr">
        <is>
          <t>A002</t>
        </is>
      </c>
      <c r="F75" t="inlineStr">
        <is>
          <t>Faculty</t>
        </is>
      </c>
      <c r="G75" t="inlineStr">
        <is>
          <t>OR</t>
        </is>
      </c>
      <c r="H75" t="inlineStr">
        <is>
          <t>CaseA</t>
        </is>
      </c>
      <c r="I75" s="3" t="inlineStr">
        <is>
          <t>Effective teamwork and closed-loop communication.</t>
        </is>
      </c>
      <c r="J75" s="3" t="inlineStr">
        <is>
          <t>Broaden the differential diagnosis and justify choices.</t>
        </is>
      </c>
      <c r="K75" t="n">
        <v>0</v>
      </c>
    </row>
    <row r="76">
      <c r="A76" t="inlineStr">
        <is>
          <t>L024</t>
        </is>
      </c>
      <c r="B76" s="6" t="n">
        <v>46064</v>
      </c>
      <c r="C76" t="inlineStr">
        <is>
          <t>EPA02</t>
        </is>
      </c>
      <c r="D76" t="n">
        <v>3</v>
      </c>
      <c r="E76" t="inlineStr">
        <is>
          <t>A003</t>
        </is>
      </c>
      <c r="F76" t="inlineStr">
        <is>
          <t>Faculty</t>
        </is>
      </c>
      <c r="G76" t="inlineStr">
        <is>
          <t>OR</t>
        </is>
      </c>
      <c r="H76" t="inlineStr">
        <is>
          <t>CaseB</t>
        </is>
      </c>
      <c r="I76" s="3" t="inlineStr">
        <is>
          <t>Good clinical reasoning with key findings identified.</t>
        </is>
      </c>
      <c r="J76" s="3" t="n"/>
      <c r="K76" t="n">
        <v>0</v>
      </c>
    </row>
    <row r="77">
      <c r="A77" t="inlineStr">
        <is>
          <t>L020</t>
        </is>
      </c>
      <c r="B77" s="6" t="n">
        <v>45898</v>
      </c>
      <c r="C77" t="inlineStr">
        <is>
          <t>EPA08</t>
        </is>
      </c>
      <c r="D77" t="n">
        <v>3</v>
      </c>
      <c r="E77" t="inlineStr">
        <is>
          <t>A009</t>
        </is>
      </c>
      <c r="F77" t="inlineStr">
        <is>
          <t>AlliedHealth</t>
        </is>
      </c>
      <c r="G77" t="inlineStr">
        <is>
          <t>ICU</t>
        </is>
      </c>
      <c r="H77" t="inlineStr">
        <is>
          <t>CaseE</t>
        </is>
      </c>
      <c r="I77" s="3" t="n"/>
      <c r="J77" s="3" t="n"/>
      <c r="K77" t="n">
        <v>0</v>
      </c>
    </row>
    <row r="78">
      <c r="A78" t="inlineStr">
        <is>
          <t>L022</t>
        </is>
      </c>
      <c r="B78" s="6" t="n">
        <v>46002</v>
      </c>
      <c r="C78" t="inlineStr">
        <is>
          <t>EPA02</t>
        </is>
      </c>
      <c r="D78" t="n">
        <v>4</v>
      </c>
      <c r="E78" t="inlineStr">
        <is>
          <t>A005</t>
        </is>
      </c>
      <c r="F78" t="inlineStr">
        <is>
          <t>Faculty</t>
        </is>
      </c>
      <c r="G78" t="inlineStr">
        <is>
          <t>ED</t>
        </is>
      </c>
      <c r="H78" t="inlineStr">
        <is>
          <t>CaseF</t>
        </is>
      </c>
      <c r="I78" s="3" t="inlineStr">
        <is>
          <t>Good clinical reasoning with key findings identified.</t>
        </is>
      </c>
      <c r="J78" s="3" t="inlineStr">
        <is>
          <t>Clarify escalation criteria and communicate proactively.</t>
        </is>
      </c>
      <c r="K78" t="n">
        <v>0</v>
      </c>
    </row>
    <row r="79">
      <c r="A79" t="inlineStr">
        <is>
          <t>L010</t>
        </is>
      </c>
      <c r="B79" s="6" t="n">
        <v>46039</v>
      </c>
      <c r="C79" t="inlineStr">
        <is>
          <t>EPA12</t>
        </is>
      </c>
      <c r="D79" t="n">
        <v>4</v>
      </c>
      <c r="E79" t="inlineStr">
        <is>
          <t>A011</t>
        </is>
      </c>
      <c r="F79" t="inlineStr">
        <is>
          <t>Nurse</t>
        </is>
      </c>
      <c r="G79" t="inlineStr">
        <is>
          <t>Ward</t>
        </is>
      </c>
      <c r="H79" t="inlineStr">
        <is>
          <t>CaseC</t>
        </is>
      </c>
      <c r="I79" s="3" t="inlineStr">
        <is>
          <t>Good clinical reasoning with key findings identified.</t>
        </is>
      </c>
      <c r="J79" s="3" t="inlineStr">
        <is>
          <t>Broaden the differential diagnosis and justify choices.</t>
        </is>
      </c>
      <c r="K79" t="n">
        <v>0</v>
      </c>
    </row>
    <row r="80">
      <c r="A80" t="inlineStr">
        <is>
          <t>L003</t>
        </is>
      </c>
      <c r="B80" s="6" t="n">
        <v>45963</v>
      </c>
      <c r="C80" t="inlineStr">
        <is>
          <t>EPA03</t>
        </is>
      </c>
      <c r="D80" t="n">
        <v>3</v>
      </c>
      <c r="E80" t="inlineStr">
        <is>
          <t>A008</t>
        </is>
      </c>
      <c r="F80" t="inlineStr">
        <is>
          <t>AlliedHealth</t>
        </is>
      </c>
      <c r="G80" t="inlineStr">
        <is>
          <t>ED</t>
        </is>
      </c>
      <c r="H80" t="inlineStr">
        <is>
          <t>CaseF</t>
        </is>
      </c>
      <c r="I80" s="3" t="inlineStr">
        <is>
          <t>Clear structure and communication.</t>
        </is>
      </c>
      <c r="J80" s="3" t="inlineStr">
        <is>
          <t>Clarify escalation criteria and communicate proactively.</t>
        </is>
      </c>
      <c r="K80" t="n">
        <v>0</v>
      </c>
    </row>
    <row r="81">
      <c r="A81" t="inlineStr">
        <is>
          <t>L012</t>
        </is>
      </c>
      <c r="B81" s="6" t="n">
        <v>45912</v>
      </c>
      <c r="C81" t="inlineStr">
        <is>
          <t>EPA10</t>
        </is>
      </c>
      <c r="D81" t="n">
        <v>4</v>
      </c>
      <c r="E81" t="inlineStr">
        <is>
          <t>A005</t>
        </is>
      </c>
      <c r="F81" t="inlineStr">
        <is>
          <t>Faculty</t>
        </is>
      </c>
      <c r="G81" t="inlineStr">
        <is>
          <t>ICU</t>
        </is>
      </c>
      <c r="H81" t="inlineStr">
        <is>
          <t>CaseE</t>
        </is>
      </c>
      <c r="I81" s="3" t="n"/>
      <c r="J81" s="3" t="n"/>
      <c r="K81" t="n">
        <v>0</v>
      </c>
    </row>
    <row r="82">
      <c r="A82" t="inlineStr">
        <is>
          <t>L010</t>
        </is>
      </c>
      <c r="B82" s="6" t="n">
        <v>46012</v>
      </c>
      <c r="C82" t="inlineStr">
        <is>
          <t>EPA10</t>
        </is>
      </c>
      <c r="D82" t="n">
        <v>4</v>
      </c>
      <c r="E82" t="inlineStr">
        <is>
          <t>A009</t>
        </is>
      </c>
      <c r="F82" t="inlineStr">
        <is>
          <t>AlliedHealth</t>
        </is>
      </c>
      <c r="G82" t="inlineStr">
        <is>
          <t>Sim</t>
        </is>
      </c>
      <c r="H82" t="inlineStr">
        <is>
          <t>CaseF</t>
        </is>
      </c>
      <c r="I82" s="3" t="inlineStr">
        <is>
          <t>Effective teamwork and closed-loop communication.</t>
        </is>
      </c>
      <c r="J82" s="3" t="inlineStr">
        <is>
          <t>Clarify escalation criteria and communicate proactively.</t>
        </is>
      </c>
      <c r="K82" t="n">
        <v>0</v>
      </c>
    </row>
    <row r="83">
      <c r="A83" t="inlineStr">
        <is>
          <t>L017</t>
        </is>
      </c>
      <c r="B83" s="6" t="n">
        <v>46045</v>
      </c>
      <c r="C83" t="inlineStr">
        <is>
          <t>EPA03</t>
        </is>
      </c>
      <c r="D83" t="n">
        <v>4</v>
      </c>
      <c r="E83" t="inlineStr">
        <is>
          <t>A007</t>
        </is>
      </c>
      <c r="F83" t="inlineStr">
        <is>
          <t>Faculty</t>
        </is>
      </c>
      <c r="G83" t="inlineStr">
        <is>
          <t>OPD</t>
        </is>
      </c>
      <c r="H83" t="inlineStr">
        <is>
          <t>CaseG</t>
        </is>
      </c>
      <c r="I83" s="3" t="inlineStr">
        <is>
          <t>Effective teamwork and closed-loop communication.</t>
        </is>
      </c>
      <c r="J83" s="3" t="inlineStr">
        <is>
          <t>Be more concise and state the plan earlier.</t>
        </is>
      </c>
      <c r="K83" t="n">
        <v>0</v>
      </c>
    </row>
    <row r="84">
      <c r="A84" t="inlineStr">
        <is>
          <t>L024</t>
        </is>
      </c>
      <c r="B84" s="6" t="n">
        <v>45899</v>
      </c>
      <c r="C84" t="inlineStr">
        <is>
          <t>EPA12</t>
        </is>
      </c>
      <c r="D84" t="n">
        <v>4</v>
      </c>
      <c r="E84" t="inlineStr">
        <is>
          <t>A004</t>
        </is>
      </c>
      <c r="F84" t="inlineStr">
        <is>
          <t>Faculty</t>
        </is>
      </c>
      <c r="G84" t="inlineStr">
        <is>
          <t>OR</t>
        </is>
      </c>
      <c r="H84" t="inlineStr">
        <is>
          <t>CaseB</t>
        </is>
      </c>
      <c r="I84" s="3" t="inlineStr">
        <is>
          <t>Professional and patient-centered approach.</t>
        </is>
      </c>
      <c r="J84" s="3" t="n"/>
      <c r="K84" t="n">
        <v>0</v>
      </c>
    </row>
    <row r="85">
      <c r="A85" t="inlineStr">
        <is>
          <t>L004</t>
        </is>
      </c>
      <c r="B85" s="6" t="n">
        <v>45950</v>
      </c>
      <c r="C85" t="inlineStr">
        <is>
          <t>EPA01</t>
        </is>
      </c>
      <c r="D85" t="n">
        <v>5</v>
      </c>
      <c r="E85" t="inlineStr">
        <is>
          <t>A010</t>
        </is>
      </c>
      <c r="F85" t="inlineStr">
        <is>
          <t>Faculty</t>
        </is>
      </c>
      <c r="G85" t="inlineStr">
        <is>
          <t>Sim</t>
        </is>
      </c>
      <c r="H85" t="inlineStr">
        <is>
          <t>CaseD</t>
        </is>
      </c>
      <c r="I85" s="3" t="inlineStr">
        <is>
          <t>Good clinical reasoning with key findings identified.</t>
        </is>
      </c>
      <c r="J85" s="3" t="inlineStr">
        <is>
          <t>Increase efficiency while maintaining safety checks.</t>
        </is>
      </c>
      <c r="K85" t="n">
        <v>0</v>
      </c>
    </row>
    <row r="86">
      <c r="A86" t="inlineStr">
        <is>
          <t>L013</t>
        </is>
      </c>
      <c r="B86" s="6" t="n">
        <v>46065</v>
      </c>
      <c r="C86" t="inlineStr">
        <is>
          <t>EPA08</t>
        </is>
      </c>
      <c r="D86" t="n">
        <v>4</v>
      </c>
      <c r="E86" t="inlineStr">
        <is>
          <t>A008</t>
        </is>
      </c>
      <c r="F86" t="inlineStr">
        <is>
          <t>AlliedHealth</t>
        </is>
      </c>
      <c r="G86" t="inlineStr">
        <is>
          <t>Ward</t>
        </is>
      </c>
      <c r="H86" t="inlineStr">
        <is>
          <t>CaseC</t>
        </is>
      </c>
      <c r="I86" s="3" t="inlineStr">
        <is>
          <t>Professional and patient-centered approach.</t>
        </is>
      </c>
      <c r="J86" s="3" t="inlineStr">
        <is>
          <t>Clarify escalation criteria and communicate proactively.</t>
        </is>
      </c>
      <c r="K86" t="n">
        <v>0</v>
      </c>
    </row>
    <row r="87">
      <c r="A87" t="inlineStr">
        <is>
          <t>L005</t>
        </is>
      </c>
      <c r="B87" s="6" t="n">
        <v>45917</v>
      </c>
      <c r="C87" t="inlineStr">
        <is>
          <t>EPA02</t>
        </is>
      </c>
      <c r="D87" t="n">
        <v>2</v>
      </c>
      <c r="E87" t="inlineStr">
        <is>
          <t>A006</t>
        </is>
      </c>
      <c r="F87" t="inlineStr">
        <is>
          <t>Faculty</t>
        </is>
      </c>
      <c r="G87" t="inlineStr">
        <is>
          <t>ED</t>
        </is>
      </c>
      <c r="H87" t="inlineStr">
        <is>
          <t>CaseC</t>
        </is>
      </c>
      <c r="I87" s="3" t="n"/>
      <c r="J87" s="3" t="n"/>
      <c r="K87" t="n">
        <v>0</v>
      </c>
    </row>
    <row r="88">
      <c r="A88" t="inlineStr">
        <is>
          <t>L012</t>
        </is>
      </c>
      <c r="B88" s="6" t="n">
        <v>45993</v>
      </c>
      <c r="C88" t="inlineStr">
        <is>
          <t>EPA03</t>
        </is>
      </c>
      <c r="D88" t="n">
        <v>4</v>
      </c>
      <c r="E88" t="inlineStr">
        <is>
          <t>A011</t>
        </is>
      </c>
      <c r="F88" t="inlineStr">
        <is>
          <t>Nurse</t>
        </is>
      </c>
      <c r="G88" t="inlineStr">
        <is>
          <t>ED</t>
        </is>
      </c>
      <c r="H88" t="inlineStr">
        <is>
          <t>CaseE</t>
        </is>
      </c>
      <c r="I88" s="3" t="inlineStr">
        <is>
          <t>Clear structure and communication.</t>
        </is>
      </c>
      <c r="J88" s="3" t="inlineStr">
        <is>
          <t>Clarify escalation criteria and communicate proactively.</t>
        </is>
      </c>
      <c r="K88" t="n">
        <v>0</v>
      </c>
    </row>
    <row r="89">
      <c r="A89" t="inlineStr">
        <is>
          <t>L014</t>
        </is>
      </c>
      <c r="B89" s="6" t="n">
        <v>45995</v>
      </c>
      <c r="C89" t="inlineStr">
        <is>
          <t>EPA01</t>
        </is>
      </c>
      <c r="D89" t="n">
        <v>3</v>
      </c>
      <c r="E89" t="inlineStr">
        <is>
          <t>A015</t>
        </is>
      </c>
      <c r="F89" t="inlineStr">
        <is>
          <t>Faculty</t>
        </is>
      </c>
      <c r="G89" t="inlineStr">
        <is>
          <t>Ward</t>
        </is>
      </c>
      <c r="H89" t="inlineStr">
        <is>
          <t>CaseE</t>
        </is>
      </c>
      <c r="I89" s="3" t="n"/>
      <c r="J89" s="3" t="n"/>
      <c r="K89" t="n">
        <v>0</v>
      </c>
    </row>
    <row r="90">
      <c r="A90" t="inlineStr">
        <is>
          <t>L019</t>
        </is>
      </c>
      <c r="B90" s="6" t="n">
        <v>45922</v>
      </c>
      <c r="C90" t="inlineStr">
        <is>
          <t>EPA04</t>
        </is>
      </c>
      <c r="D90" t="n">
        <v>2</v>
      </c>
      <c r="E90" t="inlineStr">
        <is>
          <t>A015</t>
        </is>
      </c>
      <c r="F90" t="inlineStr">
        <is>
          <t>Faculty</t>
        </is>
      </c>
      <c r="G90" t="inlineStr">
        <is>
          <t>Ward</t>
        </is>
      </c>
      <c r="H90" t="inlineStr">
        <is>
          <t>CaseG</t>
        </is>
      </c>
      <c r="I90" s="3" t="n"/>
      <c r="J90" s="3" t="n"/>
      <c r="K90" t="n">
        <v>0</v>
      </c>
    </row>
    <row r="91">
      <c r="A91" t="inlineStr">
        <is>
          <t>L018</t>
        </is>
      </c>
      <c r="B91" s="6" t="n">
        <v>45913</v>
      </c>
      <c r="C91" t="inlineStr">
        <is>
          <t>EPA08</t>
        </is>
      </c>
      <c r="D91" t="n">
        <v>4</v>
      </c>
      <c r="E91" t="inlineStr">
        <is>
          <t>A008</t>
        </is>
      </c>
      <c r="F91" t="inlineStr">
        <is>
          <t>AlliedHealth</t>
        </is>
      </c>
      <c r="G91" t="inlineStr">
        <is>
          <t>Sim</t>
        </is>
      </c>
      <c r="H91" t="inlineStr">
        <is>
          <t>CaseA</t>
        </is>
      </c>
      <c r="I91" s="3" t="n"/>
      <c r="J91" s="3" t="n"/>
      <c r="K91" t="n">
        <v>0</v>
      </c>
    </row>
    <row r="92">
      <c r="A92" t="inlineStr">
        <is>
          <t>L009</t>
        </is>
      </c>
      <c r="B92" s="6" t="n">
        <v>45983</v>
      </c>
      <c r="C92" t="inlineStr">
        <is>
          <t>EPA10</t>
        </is>
      </c>
      <c r="D92" t="n">
        <v>4</v>
      </c>
      <c r="E92" t="inlineStr">
        <is>
          <t>A004</t>
        </is>
      </c>
      <c r="F92" t="inlineStr">
        <is>
          <t>Faculty</t>
        </is>
      </c>
      <c r="G92" t="inlineStr">
        <is>
          <t>OR</t>
        </is>
      </c>
      <c r="H92" t="inlineStr">
        <is>
          <t>CaseG</t>
        </is>
      </c>
      <c r="I92" s="3" t="inlineStr">
        <is>
          <t>Effective teamwork and closed-loop communication.</t>
        </is>
      </c>
      <c r="J92" s="3" t="inlineStr">
        <is>
          <t>Increase efficiency while maintaining safety checks.</t>
        </is>
      </c>
      <c r="K92" t="n">
        <v>0</v>
      </c>
    </row>
    <row r="93">
      <c r="A93" t="inlineStr">
        <is>
          <t>L016</t>
        </is>
      </c>
      <c r="B93" s="6" t="n">
        <v>46059</v>
      </c>
      <c r="C93" t="inlineStr">
        <is>
          <t>EPA01</t>
        </is>
      </c>
      <c r="D93" t="n">
        <v>4</v>
      </c>
      <c r="E93" t="inlineStr">
        <is>
          <t>A008</t>
        </is>
      </c>
      <c r="F93" t="inlineStr">
        <is>
          <t>AlliedHealth</t>
        </is>
      </c>
      <c r="G93" t="inlineStr">
        <is>
          <t>Sim</t>
        </is>
      </c>
      <c r="H93" t="inlineStr">
        <is>
          <t>CaseF</t>
        </is>
      </c>
      <c r="I93" s="3" t="n"/>
      <c r="J93" s="3" t="n"/>
      <c r="K93" t="n">
        <v>0</v>
      </c>
    </row>
    <row r="94">
      <c r="A94" t="inlineStr">
        <is>
          <t>L007</t>
        </is>
      </c>
      <c r="B94" s="6" t="n">
        <v>45955</v>
      </c>
      <c r="C94" t="inlineStr">
        <is>
          <t>EPA04</t>
        </is>
      </c>
      <c r="D94" t="n">
        <v>4</v>
      </c>
      <c r="E94" t="inlineStr">
        <is>
          <t>A006</t>
        </is>
      </c>
      <c r="F94" t="inlineStr">
        <is>
          <t>Faculty</t>
        </is>
      </c>
      <c r="G94" t="inlineStr">
        <is>
          <t>ICU</t>
        </is>
      </c>
      <c r="H94" t="inlineStr">
        <is>
          <t>CaseE</t>
        </is>
      </c>
      <c r="I94" s="3" t="n"/>
      <c r="J94" s="3" t="n"/>
      <c r="K94" t="n">
        <v>0</v>
      </c>
    </row>
    <row r="95">
      <c r="A95" t="inlineStr">
        <is>
          <t>L018</t>
        </is>
      </c>
      <c r="B95" s="6" t="n">
        <v>45952</v>
      </c>
      <c r="C95" t="inlineStr">
        <is>
          <t>EPA01</t>
        </is>
      </c>
      <c r="D95" t="n">
        <v>5</v>
      </c>
      <c r="E95" t="inlineStr">
        <is>
          <t>A012</t>
        </is>
      </c>
      <c r="F95" t="inlineStr">
        <is>
          <t>Faculty</t>
        </is>
      </c>
      <c r="G95" t="inlineStr">
        <is>
          <t>Ward</t>
        </is>
      </c>
      <c r="H95" t="inlineStr">
        <is>
          <t>CaseB</t>
        </is>
      </c>
      <c r="I95" s="3" t="inlineStr">
        <is>
          <t>Clear structure and communication.</t>
        </is>
      </c>
      <c r="J95" s="3" t="n"/>
      <c r="K95" t="n">
        <v>0</v>
      </c>
    </row>
    <row r="96">
      <c r="A96" t="inlineStr">
        <is>
          <t>L004</t>
        </is>
      </c>
      <c r="B96" s="6" t="n">
        <v>45953</v>
      </c>
      <c r="C96" t="inlineStr">
        <is>
          <t>EPA11</t>
        </is>
      </c>
      <c r="D96" t="n">
        <v>3</v>
      </c>
      <c r="E96" t="inlineStr">
        <is>
          <t>A013</t>
        </is>
      </c>
      <c r="F96" t="inlineStr">
        <is>
          <t>Nurse</t>
        </is>
      </c>
      <c r="G96" t="inlineStr">
        <is>
          <t>ICU</t>
        </is>
      </c>
      <c r="H96" t="inlineStr">
        <is>
          <t>CaseC</t>
        </is>
      </c>
      <c r="I96" s="3" t="inlineStr">
        <is>
          <t>Effective teamwork and closed-loop communication.</t>
        </is>
      </c>
      <c r="J96" s="3" t="inlineStr">
        <is>
          <t>Increase efficiency while maintaining safety checks.</t>
        </is>
      </c>
      <c r="K96" t="n">
        <v>0</v>
      </c>
    </row>
    <row r="97">
      <c r="A97" t="inlineStr">
        <is>
          <t>L016</t>
        </is>
      </c>
      <c r="B97" s="6" t="n">
        <v>46054</v>
      </c>
      <c r="C97" t="inlineStr">
        <is>
          <t>EPA08</t>
        </is>
      </c>
      <c r="D97" t="n">
        <v>4</v>
      </c>
      <c r="E97" t="inlineStr">
        <is>
          <t>A007</t>
        </is>
      </c>
      <c r="F97" t="inlineStr">
        <is>
          <t>Faculty</t>
        </is>
      </c>
      <c r="G97" t="inlineStr">
        <is>
          <t>OPD</t>
        </is>
      </c>
      <c r="H97" t="inlineStr">
        <is>
          <t>CaseA</t>
        </is>
      </c>
      <c r="I97" s="3" t="inlineStr">
        <is>
          <t>Good clinical reasoning with key findings identified.</t>
        </is>
      </c>
      <c r="J97" s="3" t="inlineStr">
        <is>
          <t>Increase efficiency while maintaining safety checks.</t>
        </is>
      </c>
      <c r="K97" t="n">
        <v>0</v>
      </c>
    </row>
    <row r="98">
      <c r="A98" t="inlineStr">
        <is>
          <t>L007</t>
        </is>
      </c>
      <c r="B98" s="6" t="n">
        <v>45958</v>
      </c>
      <c r="C98" t="inlineStr">
        <is>
          <t>EPA06</t>
        </is>
      </c>
      <c r="D98" t="n">
        <v>2</v>
      </c>
      <c r="E98" t="inlineStr">
        <is>
          <t>A003</t>
        </is>
      </c>
      <c r="F98" t="inlineStr">
        <is>
          <t>Faculty</t>
        </is>
      </c>
      <c r="G98" t="inlineStr">
        <is>
          <t>ED</t>
        </is>
      </c>
      <c r="H98" t="inlineStr">
        <is>
          <t>CaseG</t>
        </is>
      </c>
      <c r="I98" s="3" t="n"/>
      <c r="J98" s="3" t="n"/>
      <c r="K98" t="n">
        <v>0</v>
      </c>
    </row>
    <row r="99">
      <c r="A99" t="inlineStr">
        <is>
          <t>L017</t>
        </is>
      </c>
      <c r="B99" s="6" t="n">
        <v>45946</v>
      </c>
      <c r="C99" t="inlineStr">
        <is>
          <t>EPA11</t>
        </is>
      </c>
      <c r="D99" t="n">
        <v>2</v>
      </c>
      <c r="E99" t="inlineStr">
        <is>
          <t>A012</t>
        </is>
      </c>
      <c r="F99" t="inlineStr">
        <is>
          <t>Faculty</t>
        </is>
      </c>
      <c r="G99" t="inlineStr">
        <is>
          <t>OPD</t>
        </is>
      </c>
      <c r="H99" t="inlineStr">
        <is>
          <t>CaseG</t>
        </is>
      </c>
      <c r="I99" s="3" t="inlineStr">
        <is>
          <t>Effective teamwork and closed-loop communication.</t>
        </is>
      </c>
      <c r="J99" s="3" t="inlineStr">
        <is>
          <t>Document key times and decisions more clearly.</t>
        </is>
      </c>
      <c r="K99" t="n">
        <v>0</v>
      </c>
    </row>
    <row r="100">
      <c r="A100" t="inlineStr">
        <is>
          <t>L006</t>
        </is>
      </c>
      <c r="B100" s="6" t="n">
        <v>46000</v>
      </c>
      <c r="C100" t="inlineStr">
        <is>
          <t>EPA06</t>
        </is>
      </c>
      <c r="D100" t="n">
        <v>3</v>
      </c>
      <c r="E100" t="inlineStr">
        <is>
          <t>A011</t>
        </is>
      </c>
      <c r="F100" t="inlineStr">
        <is>
          <t>Nurse</t>
        </is>
      </c>
      <c r="G100" t="inlineStr">
        <is>
          <t>OPD</t>
        </is>
      </c>
      <c r="H100" t="inlineStr">
        <is>
          <t>CaseD</t>
        </is>
      </c>
      <c r="I100" s="3" t="inlineStr">
        <is>
          <t>Appropriate prioritization and plan articulation.</t>
        </is>
      </c>
      <c r="J100" s="3" t="n"/>
      <c r="K100" t="n">
        <v>0</v>
      </c>
    </row>
    <row r="101">
      <c r="A101" t="inlineStr">
        <is>
          <t>L014</t>
        </is>
      </c>
      <c r="B101" s="6" t="n">
        <v>46006</v>
      </c>
      <c r="C101" t="inlineStr">
        <is>
          <t>EPA06</t>
        </is>
      </c>
      <c r="D101" t="n">
        <v>3</v>
      </c>
      <c r="E101" t="inlineStr">
        <is>
          <t>A012</t>
        </is>
      </c>
      <c r="F101" t="inlineStr">
        <is>
          <t>Faculty</t>
        </is>
      </c>
      <c r="G101" t="inlineStr">
        <is>
          <t>Ward</t>
        </is>
      </c>
      <c r="H101" t="inlineStr">
        <is>
          <t>CaseD</t>
        </is>
      </c>
      <c r="I101" s="3" t="n"/>
      <c r="J101" s="3" t="n"/>
      <c r="K101" t="n">
        <v>0</v>
      </c>
    </row>
    <row r="102">
      <c r="A102" t="inlineStr">
        <is>
          <t>L005</t>
        </is>
      </c>
      <c r="B102" s="6" t="n">
        <v>45944</v>
      </c>
      <c r="C102" t="inlineStr">
        <is>
          <t>EPA10</t>
        </is>
      </c>
      <c r="D102" t="n">
        <v>2</v>
      </c>
      <c r="E102" t="inlineStr">
        <is>
          <t>A004</t>
        </is>
      </c>
      <c r="F102" t="inlineStr">
        <is>
          <t>Faculty</t>
        </is>
      </c>
      <c r="G102" t="inlineStr">
        <is>
          <t>Sim</t>
        </is>
      </c>
      <c r="H102" t="inlineStr">
        <is>
          <t>CaseD</t>
        </is>
      </c>
      <c r="I102" s="3" t="inlineStr">
        <is>
          <t>Clear structure and communication.</t>
        </is>
      </c>
      <c r="J102" s="3" t="inlineStr">
        <is>
          <t>Be more concise and state the plan earlier.</t>
        </is>
      </c>
      <c r="K102" t="n">
        <v>0</v>
      </c>
    </row>
    <row r="103">
      <c r="A103" t="inlineStr">
        <is>
          <t>L025</t>
        </is>
      </c>
      <c r="B103" s="6" t="n">
        <v>45931</v>
      </c>
      <c r="C103" t="inlineStr">
        <is>
          <t>EPA07</t>
        </is>
      </c>
      <c r="D103" t="n">
        <v>4</v>
      </c>
      <c r="E103" t="inlineStr">
        <is>
          <t>A005</t>
        </is>
      </c>
      <c r="F103" t="inlineStr">
        <is>
          <t>Faculty</t>
        </is>
      </c>
      <c r="G103" t="inlineStr">
        <is>
          <t>ICU</t>
        </is>
      </c>
      <c r="H103" t="inlineStr">
        <is>
          <t>CaseG</t>
        </is>
      </c>
      <c r="I103" s="3" t="inlineStr">
        <is>
          <t>Professional and patient-centered approach.</t>
        </is>
      </c>
      <c r="J103" s="3" t="inlineStr">
        <is>
          <t>Clarify escalation criteria and communicate proactively.</t>
        </is>
      </c>
      <c r="K103" t="n">
        <v>0</v>
      </c>
    </row>
    <row r="104">
      <c r="A104" t="inlineStr">
        <is>
          <t>L001</t>
        </is>
      </c>
      <c r="B104" s="6" t="n">
        <v>46072</v>
      </c>
      <c r="C104" t="inlineStr">
        <is>
          <t>EPA07</t>
        </is>
      </c>
      <c r="D104" t="n">
        <v>4</v>
      </c>
      <c r="E104" t="inlineStr">
        <is>
          <t>A007</t>
        </is>
      </c>
      <c r="F104" t="inlineStr">
        <is>
          <t>Faculty</t>
        </is>
      </c>
      <c r="G104" t="inlineStr">
        <is>
          <t>Sim</t>
        </is>
      </c>
      <c r="H104" t="inlineStr">
        <is>
          <t>CaseF</t>
        </is>
      </c>
      <c r="I104" s="3" t="inlineStr">
        <is>
          <t>Good clinical reasoning with key findings identified.</t>
        </is>
      </c>
      <c r="J104" s="3" t="n"/>
      <c r="K104" t="n">
        <v>0</v>
      </c>
    </row>
    <row r="105">
      <c r="A105" t="inlineStr">
        <is>
          <t>L021</t>
        </is>
      </c>
      <c r="B105" s="6" t="n">
        <v>45957</v>
      </c>
      <c r="C105" t="inlineStr">
        <is>
          <t>EPA11</t>
        </is>
      </c>
      <c r="D105" t="n">
        <v>4</v>
      </c>
      <c r="E105" t="inlineStr">
        <is>
          <t>A002</t>
        </is>
      </c>
      <c r="F105" t="inlineStr">
        <is>
          <t>Faculty</t>
        </is>
      </c>
      <c r="G105" t="inlineStr">
        <is>
          <t>OR</t>
        </is>
      </c>
      <c r="H105" t="inlineStr">
        <is>
          <t>CaseA</t>
        </is>
      </c>
      <c r="I105" s="3" t="n"/>
      <c r="J105" s="3" t="n"/>
      <c r="K105" t="n">
        <v>0</v>
      </c>
    </row>
    <row r="106">
      <c r="A106" t="inlineStr">
        <is>
          <t>L003</t>
        </is>
      </c>
      <c r="B106" s="6" t="n">
        <v>45936</v>
      </c>
      <c r="C106" t="inlineStr">
        <is>
          <t>EPA07</t>
        </is>
      </c>
      <c r="D106" t="n">
        <v>2</v>
      </c>
      <c r="E106" t="inlineStr">
        <is>
          <t>A011</t>
        </is>
      </c>
      <c r="F106" t="inlineStr">
        <is>
          <t>Nurse</t>
        </is>
      </c>
      <c r="G106" t="inlineStr">
        <is>
          <t>ED</t>
        </is>
      </c>
      <c r="H106" t="inlineStr">
        <is>
          <t>CaseC</t>
        </is>
      </c>
      <c r="I106" s="3" t="inlineStr">
        <is>
          <t>Appropriate prioritization and plan articulation.</t>
        </is>
      </c>
      <c r="J106" s="3" t="inlineStr">
        <is>
          <t>Document key times and decisions more clearly.</t>
        </is>
      </c>
      <c r="K106" t="n">
        <v>0</v>
      </c>
    </row>
    <row r="107">
      <c r="A107" t="inlineStr">
        <is>
          <t>L015</t>
        </is>
      </c>
      <c r="B107" s="6" t="n">
        <v>46030</v>
      </c>
      <c r="C107" t="inlineStr">
        <is>
          <t>EPA02</t>
        </is>
      </c>
      <c r="D107" t="n">
        <v>5</v>
      </c>
      <c r="E107" t="inlineStr">
        <is>
          <t>A008</t>
        </is>
      </c>
      <c r="F107" t="inlineStr">
        <is>
          <t>AlliedHealth</t>
        </is>
      </c>
      <c r="G107" t="inlineStr">
        <is>
          <t>Ward</t>
        </is>
      </c>
      <c r="H107" t="inlineStr">
        <is>
          <t>CaseE</t>
        </is>
      </c>
      <c r="I107" s="3" t="inlineStr">
        <is>
          <t>Appropriate prioritization and plan articulation.</t>
        </is>
      </c>
      <c r="J107" s="3" t="inlineStr">
        <is>
          <t>Document key times and decisions more clearly.</t>
        </is>
      </c>
      <c r="K107" t="n">
        <v>0</v>
      </c>
    </row>
    <row r="108">
      <c r="A108" t="inlineStr">
        <is>
          <t>L023</t>
        </is>
      </c>
      <c r="B108" s="6" t="n">
        <v>45910</v>
      </c>
      <c r="C108" t="inlineStr">
        <is>
          <t>EPA10</t>
        </is>
      </c>
      <c r="D108" t="n">
        <v>4</v>
      </c>
      <c r="E108" t="inlineStr">
        <is>
          <t>A012</t>
        </is>
      </c>
      <c r="F108" t="inlineStr">
        <is>
          <t>Faculty</t>
        </is>
      </c>
      <c r="G108" t="inlineStr">
        <is>
          <t>Sim</t>
        </is>
      </c>
      <c r="H108" t="inlineStr">
        <is>
          <t>CaseE</t>
        </is>
      </c>
      <c r="I108" s="3" t="inlineStr">
        <is>
          <t>Appropriate prioritization and plan articulation.</t>
        </is>
      </c>
      <c r="J108" s="3" t="n"/>
      <c r="K108" t="n">
        <v>0</v>
      </c>
    </row>
    <row r="109">
      <c r="A109" t="inlineStr">
        <is>
          <t>L004</t>
        </is>
      </c>
      <c r="B109" s="6" t="n">
        <v>45964</v>
      </c>
      <c r="C109" t="inlineStr">
        <is>
          <t>EPA10</t>
        </is>
      </c>
      <c r="D109" t="n">
        <v>4</v>
      </c>
      <c r="E109" t="inlineStr">
        <is>
          <t>A002</t>
        </is>
      </c>
      <c r="F109" t="inlineStr">
        <is>
          <t>Faculty</t>
        </is>
      </c>
      <c r="G109" t="inlineStr">
        <is>
          <t>ICU</t>
        </is>
      </c>
      <c r="H109" t="inlineStr">
        <is>
          <t>CaseF</t>
        </is>
      </c>
      <c r="I109" s="3" t="n"/>
      <c r="J109" s="3" t="n"/>
      <c r="K109" t="n">
        <v>0</v>
      </c>
    </row>
    <row r="110">
      <c r="A110" t="inlineStr">
        <is>
          <t>L021</t>
        </is>
      </c>
      <c r="B110" s="6" t="n">
        <v>45995</v>
      </c>
      <c r="C110" t="inlineStr">
        <is>
          <t>EPA06</t>
        </is>
      </c>
      <c r="D110" t="n">
        <v>3</v>
      </c>
      <c r="E110" t="inlineStr">
        <is>
          <t>A003</t>
        </is>
      </c>
      <c r="F110" t="inlineStr">
        <is>
          <t>Faculty</t>
        </is>
      </c>
      <c r="G110" t="inlineStr">
        <is>
          <t>Ward</t>
        </is>
      </c>
      <c r="H110" t="inlineStr">
        <is>
          <t>CaseC</t>
        </is>
      </c>
      <c r="I110" s="3" t="inlineStr">
        <is>
          <t>Clear structure and communication.</t>
        </is>
      </c>
      <c r="J110" s="3" t="inlineStr">
        <is>
          <t>Broaden the differential diagnosis and justify choices.</t>
        </is>
      </c>
      <c r="K110" t="n">
        <v>0</v>
      </c>
    </row>
    <row r="111">
      <c r="A111" t="inlineStr">
        <is>
          <t>L005</t>
        </is>
      </c>
      <c r="B111" s="6" t="n">
        <v>45907</v>
      </c>
      <c r="C111" t="inlineStr">
        <is>
          <t>EPA11</t>
        </is>
      </c>
      <c r="D111" t="n">
        <v>4</v>
      </c>
      <c r="E111" t="inlineStr">
        <is>
          <t>A009</t>
        </is>
      </c>
      <c r="F111" t="inlineStr">
        <is>
          <t>AlliedHealth</t>
        </is>
      </c>
      <c r="G111" t="inlineStr">
        <is>
          <t>ED</t>
        </is>
      </c>
      <c r="H111" t="inlineStr">
        <is>
          <t>CaseC</t>
        </is>
      </c>
      <c r="I111" s="3" t="inlineStr">
        <is>
          <t>Appropriate prioritization and plan articulation.</t>
        </is>
      </c>
      <c r="J111" s="3" t="inlineStr">
        <is>
          <t>Broaden the differential diagnosis and justify choices.</t>
        </is>
      </c>
      <c r="K111" t="n">
        <v>0</v>
      </c>
    </row>
    <row r="112">
      <c r="A112" t="inlineStr">
        <is>
          <t>L001</t>
        </is>
      </c>
      <c r="B112" s="6" t="n">
        <v>45928</v>
      </c>
      <c r="C112" t="inlineStr">
        <is>
          <t>EPA07</t>
        </is>
      </c>
      <c r="D112" t="n">
        <v>4</v>
      </c>
      <c r="E112" t="inlineStr">
        <is>
          <t>A008</t>
        </is>
      </c>
      <c r="F112" t="inlineStr">
        <is>
          <t>AlliedHealth</t>
        </is>
      </c>
      <c r="G112" t="inlineStr">
        <is>
          <t>Ward</t>
        </is>
      </c>
      <c r="H112" t="inlineStr">
        <is>
          <t>CaseA</t>
        </is>
      </c>
      <c r="I112" s="3" t="n"/>
      <c r="J112" s="3" t="n"/>
      <c r="K112" t="n">
        <v>0</v>
      </c>
    </row>
    <row r="113">
      <c r="A113" t="inlineStr">
        <is>
          <t>L007</t>
        </is>
      </c>
      <c r="B113" s="6" t="n">
        <v>45924</v>
      </c>
      <c r="C113" t="inlineStr">
        <is>
          <t>EPA04</t>
        </is>
      </c>
      <c r="D113" t="n">
        <v>3</v>
      </c>
      <c r="E113" t="inlineStr">
        <is>
          <t>A015</t>
        </is>
      </c>
      <c r="F113" t="inlineStr">
        <is>
          <t>Faculty</t>
        </is>
      </c>
      <c r="G113" t="inlineStr">
        <is>
          <t>Ward</t>
        </is>
      </c>
      <c r="H113" t="inlineStr">
        <is>
          <t>CaseE</t>
        </is>
      </c>
      <c r="I113" s="3" t="n"/>
      <c r="J113" s="3" t="n"/>
      <c r="K113" t="n">
        <v>0</v>
      </c>
    </row>
    <row r="114">
      <c r="A114" t="inlineStr">
        <is>
          <t>L017</t>
        </is>
      </c>
      <c r="B114" s="6" t="n">
        <v>45928</v>
      </c>
      <c r="C114" t="inlineStr">
        <is>
          <t>EPA11</t>
        </is>
      </c>
      <c r="D114" t="n">
        <v>3</v>
      </c>
      <c r="E114" t="inlineStr">
        <is>
          <t>A006</t>
        </is>
      </c>
      <c r="F114" t="inlineStr">
        <is>
          <t>Faculty</t>
        </is>
      </c>
      <c r="G114" t="inlineStr">
        <is>
          <t>OPD</t>
        </is>
      </c>
      <c r="H114" t="inlineStr">
        <is>
          <t>CaseA</t>
        </is>
      </c>
      <c r="I114" s="3" t="n"/>
      <c r="J114" s="3" t="n"/>
      <c r="K114" t="n">
        <v>0</v>
      </c>
    </row>
    <row r="115">
      <c r="A115" t="inlineStr">
        <is>
          <t>L002</t>
        </is>
      </c>
      <c r="B115" s="6" t="n">
        <v>46045</v>
      </c>
      <c r="C115" t="inlineStr">
        <is>
          <t>EPA06</t>
        </is>
      </c>
      <c r="D115" t="n">
        <v>4</v>
      </c>
      <c r="E115" t="inlineStr">
        <is>
          <t>A009</t>
        </is>
      </c>
      <c r="F115" t="inlineStr">
        <is>
          <t>AlliedHealth</t>
        </is>
      </c>
      <c r="G115" t="inlineStr">
        <is>
          <t>ICU</t>
        </is>
      </c>
      <c r="H115" t="inlineStr">
        <is>
          <t>CaseD</t>
        </is>
      </c>
      <c r="I115" s="3" t="n"/>
      <c r="J115" s="3" t="n"/>
      <c r="K115" t="n">
        <v>0</v>
      </c>
    </row>
    <row r="116">
      <c r="A116" t="inlineStr">
        <is>
          <t>L002</t>
        </is>
      </c>
      <c r="B116" s="6" t="n">
        <v>46035</v>
      </c>
      <c r="C116" t="inlineStr">
        <is>
          <t>EPA04</t>
        </is>
      </c>
      <c r="D116" t="n">
        <v>4</v>
      </c>
      <c r="E116" t="inlineStr">
        <is>
          <t>A003</t>
        </is>
      </c>
      <c r="F116" t="inlineStr">
        <is>
          <t>Faculty</t>
        </is>
      </c>
      <c r="G116" t="inlineStr">
        <is>
          <t>ICU</t>
        </is>
      </c>
      <c r="H116" t="inlineStr">
        <is>
          <t>CaseG</t>
        </is>
      </c>
      <c r="I116" s="3" t="inlineStr">
        <is>
          <t>Effective teamwork and closed-loop communication.</t>
        </is>
      </c>
      <c r="J116" s="3" t="inlineStr">
        <is>
          <t>Broaden the differential diagnosis and justify choices.</t>
        </is>
      </c>
      <c r="K116" t="n">
        <v>0</v>
      </c>
    </row>
    <row r="117">
      <c r="A117" t="inlineStr">
        <is>
          <t>L018</t>
        </is>
      </c>
      <c r="B117" s="6" t="n">
        <v>46064</v>
      </c>
      <c r="C117" t="inlineStr">
        <is>
          <t>EPA07</t>
        </is>
      </c>
      <c r="D117" t="n">
        <v>5</v>
      </c>
      <c r="E117" t="inlineStr">
        <is>
          <t>A002</t>
        </is>
      </c>
      <c r="F117" t="inlineStr">
        <is>
          <t>Faculty</t>
        </is>
      </c>
      <c r="G117" t="inlineStr">
        <is>
          <t>ED</t>
        </is>
      </c>
      <c r="H117" t="inlineStr">
        <is>
          <t>CaseA</t>
        </is>
      </c>
      <c r="I117" s="3" t="n"/>
      <c r="J117" s="3" t="n"/>
      <c r="K117" t="n">
        <v>0</v>
      </c>
    </row>
    <row r="118">
      <c r="A118" t="inlineStr">
        <is>
          <t>L017</t>
        </is>
      </c>
      <c r="B118" s="6" t="n">
        <v>46012</v>
      </c>
      <c r="C118" t="inlineStr">
        <is>
          <t>EPA08</t>
        </is>
      </c>
      <c r="D118" t="n">
        <v>3</v>
      </c>
      <c r="E118" t="inlineStr">
        <is>
          <t>A015</t>
        </is>
      </c>
      <c r="F118" t="inlineStr">
        <is>
          <t>Faculty</t>
        </is>
      </c>
      <c r="G118" t="inlineStr">
        <is>
          <t>ED</t>
        </is>
      </c>
      <c r="H118" t="inlineStr">
        <is>
          <t>CaseB</t>
        </is>
      </c>
      <c r="I118" s="3" t="n"/>
      <c r="J118" s="3" t="n"/>
      <c r="K118" t="n">
        <v>0</v>
      </c>
    </row>
    <row r="119">
      <c r="A119" t="inlineStr">
        <is>
          <t>L013</t>
        </is>
      </c>
      <c r="B119" s="6" t="n">
        <v>45923</v>
      </c>
      <c r="C119" t="inlineStr">
        <is>
          <t>EPA01</t>
        </is>
      </c>
      <c r="D119" t="n">
        <v>5</v>
      </c>
      <c r="E119" t="inlineStr">
        <is>
          <t>A011</t>
        </is>
      </c>
      <c r="F119" t="inlineStr">
        <is>
          <t>Nurse</t>
        </is>
      </c>
      <c r="G119" t="inlineStr">
        <is>
          <t>ED</t>
        </is>
      </c>
      <c r="H119" t="inlineStr">
        <is>
          <t>CaseA</t>
        </is>
      </c>
      <c r="I119" s="3" t="n"/>
      <c r="J119" s="3" t="n"/>
      <c r="K119" t="n">
        <v>0</v>
      </c>
    </row>
    <row r="120">
      <c r="A120" t="inlineStr">
        <is>
          <t>L006</t>
        </is>
      </c>
      <c r="B120" s="6" t="n">
        <v>46008</v>
      </c>
      <c r="C120" t="inlineStr">
        <is>
          <t>EPA10</t>
        </is>
      </c>
      <c r="D120" t="n">
        <v>3</v>
      </c>
      <c r="E120" t="inlineStr">
        <is>
          <t>A012</t>
        </is>
      </c>
      <c r="F120" t="inlineStr">
        <is>
          <t>Faculty</t>
        </is>
      </c>
      <c r="G120" t="inlineStr">
        <is>
          <t>Sim</t>
        </is>
      </c>
      <c r="H120" t="inlineStr">
        <is>
          <t>CaseC</t>
        </is>
      </c>
      <c r="I120" s="3" t="inlineStr">
        <is>
          <t>Effective teamwork and closed-loop communication.</t>
        </is>
      </c>
      <c r="J120" s="3" t="inlineStr">
        <is>
          <t>Broaden the differential diagnosis and justify choices.</t>
        </is>
      </c>
      <c r="K120" t="n">
        <v>0</v>
      </c>
    </row>
    <row r="121">
      <c r="A121" t="inlineStr">
        <is>
          <t>L025</t>
        </is>
      </c>
      <c r="B121" s="6" t="n">
        <v>45963</v>
      </c>
      <c r="C121" t="inlineStr">
        <is>
          <t>EPA12</t>
        </is>
      </c>
      <c r="D121" t="n">
        <v>4</v>
      </c>
      <c r="E121" t="inlineStr">
        <is>
          <t>A008</t>
        </is>
      </c>
      <c r="F121" t="inlineStr">
        <is>
          <t>AlliedHealth</t>
        </is>
      </c>
      <c r="G121" t="inlineStr">
        <is>
          <t>ICU</t>
        </is>
      </c>
      <c r="H121" t="inlineStr">
        <is>
          <t>CaseB</t>
        </is>
      </c>
      <c r="I121" s="3" t="inlineStr">
        <is>
          <t>Effective teamwork and closed-loop communication.</t>
        </is>
      </c>
      <c r="J121" s="3" t="n"/>
      <c r="K121" t="n">
        <v>0</v>
      </c>
    </row>
    <row r="122">
      <c r="A122" t="inlineStr">
        <is>
          <t>L003</t>
        </is>
      </c>
      <c r="B122" s="6" t="n">
        <v>45970</v>
      </c>
      <c r="C122" t="inlineStr">
        <is>
          <t>EPA03</t>
        </is>
      </c>
      <c r="D122" t="n">
        <v>4</v>
      </c>
      <c r="E122" t="inlineStr">
        <is>
          <t>A014</t>
        </is>
      </c>
      <c r="F122" t="inlineStr">
        <is>
          <t>Faculty</t>
        </is>
      </c>
      <c r="G122" t="inlineStr">
        <is>
          <t>OR</t>
        </is>
      </c>
      <c r="H122" t="inlineStr">
        <is>
          <t>CaseF</t>
        </is>
      </c>
      <c r="I122" s="3" t="n"/>
      <c r="J122" s="3" t="n"/>
      <c r="K122" t="n">
        <v>0</v>
      </c>
    </row>
    <row r="123">
      <c r="A123" t="inlineStr">
        <is>
          <t>L017</t>
        </is>
      </c>
      <c r="B123" s="6" t="n">
        <v>46036</v>
      </c>
      <c r="C123" t="inlineStr">
        <is>
          <t>EPA03</t>
        </is>
      </c>
      <c r="D123" t="n">
        <v>3</v>
      </c>
      <c r="E123" t="inlineStr">
        <is>
          <t>A003</t>
        </is>
      </c>
      <c r="F123" t="inlineStr">
        <is>
          <t>Faculty</t>
        </is>
      </c>
      <c r="G123" t="inlineStr">
        <is>
          <t>OPD</t>
        </is>
      </c>
      <c r="H123" t="inlineStr">
        <is>
          <t>CaseE</t>
        </is>
      </c>
      <c r="I123" s="3" t="inlineStr">
        <is>
          <t>Appropriate prioritization and plan articulation.</t>
        </is>
      </c>
      <c r="J123" s="3" t="inlineStr">
        <is>
          <t>Document key times and decisions more clearly.</t>
        </is>
      </c>
      <c r="K123" t="n">
        <v>0</v>
      </c>
    </row>
    <row r="124">
      <c r="A124" t="inlineStr">
        <is>
          <t>L007</t>
        </is>
      </c>
      <c r="B124" s="6" t="n">
        <v>45974</v>
      </c>
      <c r="C124" t="inlineStr">
        <is>
          <t>EPA04</t>
        </is>
      </c>
      <c r="D124" t="n">
        <v>2</v>
      </c>
      <c r="E124" t="inlineStr">
        <is>
          <t>A007</t>
        </is>
      </c>
      <c r="F124" t="inlineStr">
        <is>
          <t>Faculty</t>
        </is>
      </c>
      <c r="G124" t="inlineStr">
        <is>
          <t>Sim</t>
        </is>
      </c>
      <c r="H124" t="inlineStr">
        <is>
          <t>CaseG</t>
        </is>
      </c>
      <c r="I124" s="3" t="n"/>
      <c r="J124" s="3" t="n"/>
      <c r="K124" t="n">
        <v>0</v>
      </c>
    </row>
    <row r="125">
      <c r="A125" t="inlineStr">
        <is>
          <t>L025</t>
        </is>
      </c>
      <c r="B125" s="6" t="n">
        <v>46016</v>
      </c>
      <c r="C125" t="inlineStr">
        <is>
          <t>EPA05</t>
        </is>
      </c>
      <c r="D125" t="n">
        <v>5</v>
      </c>
      <c r="E125" t="inlineStr">
        <is>
          <t>A012</t>
        </is>
      </c>
      <c r="F125" t="inlineStr">
        <is>
          <t>Faculty</t>
        </is>
      </c>
      <c r="G125" t="inlineStr">
        <is>
          <t>ICU</t>
        </is>
      </c>
      <c r="H125" t="inlineStr">
        <is>
          <t>CaseA</t>
        </is>
      </c>
      <c r="I125" s="3" t="inlineStr">
        <is>
          <t>Clear structure and communication.</t>
        </is>
      </c>
      <c r="J125" s="3" t="inlineStr">
        <is>
          <t>Document key times and decisions more clearly.</t>
        </is>
      </c>
      <c r="K125" t="n">
        <v>0</v>
      </c>
    </row>
    <row r="126">
      <c r="A126" t="inlineStr">
        <is>
          <t>L018</t>
        </is>
      </c>
      <c r="B126" s="6" t="n">
        <v>46021</v>
      </c>
      <c r="C126" t="inlineStr">
        <is>
          <t>EPA10</t>
        </is>
      </c>
      <c r="D126" t="n">
        <v>5</v>
      </c>
      <c r="E126" t="inlineStr">
        <is>
          <t>A013</t>
        </is>
      </c>
      <c r="F126" t="inlineStr">
        <is>
          <t>Nurse</t>
        </is>
      </c>
      <c r="G126" t="inlineStr">
        <is>
          <t>ED</t>
        </is>
      </c>
      <c r="H126" t="inlineStr">
        <is>
          <t>CaseA</t>
        </is>
      </c>
      <c r="I126" s="3" t="inlineStr">
        <is>
          <t>Good clinical reasoning with key findings identified.</t>
        </is>
      </c>
      <c r="J126" s="3" t="inlineStr">
        <is>
          <t>Clarify escalation criteria and communicate proactively.</t>
        </is>
      </c>
      <c r="K126" t="n">
        <v>0</v>
      </c>
    </row>
    <row r="127">
      <c r="A127" t="inlineStr">
        <is>
          <t>L005</t>
        </is>
      </c>
      <c r="B127" s="6" t="n">
        <v>45904</v>
      </c>
      <c r="C127" t="inlineStr">
        <is>
          <t>EPA08</t>
        </is>
      </c>
      <c r="D127" t="n">
        <v>3</v>
      </c>
      <c r="E127" t="inlineStr">
        <is>
          <t>A005</t>
        </is>
      </c>
      <c r="F127" t="inlineStr">
        <is>
          <t>Faculty</t>
        </is>
      </c>
      <c r="G127" t="inlineStr">
        <is>
          <t>Sim</t>
        </is>
      </c>
      <c r="H127" t="inlineStr">
        <is>
          <t>CaseF</t>
        </is>
      </c>
      <c r="I127" s="3" t="n"/>
      <c r="J127" s="3" t="n"/>
      <c r="K127" t="n">
        <v>0</v>
      </c>
    </row>
    <row r="128">
      <c r="A128" t="inlineStr">
        <is>
          <t>L017</t>
        </is>
      </c>
      <c r="B128" s="6" t="n">
        <v>45989</v>
      </c>
      <c r="C128" t="inlineStr">
        <is>
          <t>EPA03</t>
        </is>
      </c>
      <c r="D128" t="n">
        <v>4</v>
      </c>
      <c r="E128" t="inlineStr">
        <is>
          <t>A013</t>
        </is>
      </c>
      <c r="F128" t="inlineStr">
        <is>
          <t>Nurse</t>
        </is>
      </c>
      <c r="G128" t="inlineStr">
        <is>
          <t>ICU</t>
        </is>
      </c>
      <c r="H128" t="inlineStr">
        <is>
          <t>CaseF</t>
        </is>
      </c>
      <c r="I128" s="3" t="inlineStr">
        <is>
          <t>Effective teamwork and closed-loop communication.</t>
        </is>
      </c>
      <c r="J128" s="3" t="n"/>
      <c r="K128" t="n">
        <v>0</v>
      </c>
    </row>
    <row r="129">
      <c r="A129" t="inlineStr">
        <is>
          <t>L018</t>
        </is>
      </c>
      <c r="B129" s="6" t="n">
        <v>46019</v>
      </c>
      <c r="C129" t="inlineStr">
        <is>
          <t>EPA11</t>
        </is>
      </c>
      <c r="D129" t="n">
        <v>5</v>
      </c>
      <c r="E129" t="inlineStr">
        <is>
          <t>A013</t>
        </is>
      </c>
      <c r="F129" t="inlineStr">
        <is>
          <t>Nurse</t>
        </is>
      </c>
      <c r="G129" t="inlineStr">
        <is>
          <t>ICU</t>
        </is>
      </c>
      <c r="H129" t="inlineStr">
        <is>
          <t>CaseA</t>
        </is>
      </c>
      <c r="I129" s="3" t="n"/>
      <c r="J129" s="3" t="n"/>
      <c r="K129" t="n">
        <v>0</v>
      </c>
    </row>
    <row r="130">
      <c r="A130" t="inlineStr">
        <is>
          <t>L003</t>
        </is>
      </c>
      <c r="B130" s="6" t="n">
        <v>45911</v>
      </c>
      <c r="C130" t="inlineStr">
        <is>
          <t>EPA08</t>
        </is>
      </c>
      <c r="D130" t="n">
        <v>3</v>
      </c>
      <c r="E130" t="inlineStr">
        <is>
          <t>A008</t>
        </is>
      </c>
      <c r="F130" t="inlineStr">
        <is>
          <t>AlliedHealth</t>
        </is>
      </c>
      <c r="G130" t="inlineStr">
        <is>
          <t>OPD</t>
        </is>
      </c>
      <c r="H130" t="inlineStr">
        <is>
          <t>CaseG</t>
        </is>
      </c>
      <c r="I130" s="3" t="inlineStr">
        <is>
          <t>Effective teamwork and closed-loop communication.</t>
        </is>
      </c>
      <c r="J130" s="3" t="inlineStr">
        <is>
          <t>Increase efficiency while maintaining safety checks.</t>
        </is>
      </c>
      <c r="K130" t="n">
        <v>0</v>
      </c>
    </row>
    <row r="131">
      <c r="A131" t="inlineStr">
        <is>
          <t>L022</t>
        </is>
      </c>
      <c r="B131" s="6" t="n">
        <v>46062</v>
      </c>
      <c r="C131" t="inlineStr">
        <is>
          <t>EPA08</t>
        </is>
      </c>
      <c r="D131" t="n">
        <v>4</v>
      </c>
      <c r="E131" t="inlineStr">
        <is>
          <t>A015</t>
        </is>
      </c>
      <c r="F131" t="inlineStr">
        <is>
          <t>Faculty</t>
        </is>
      </c>
      <c r="G131" t="inlineStr">
        <is>
          <t>OPD</t>
        </is>
      </c>
      <c r="H131" t="inlineStr">
        <is>
          <t>CaseA</t>
        </is>
      </c>
      <c r="I131" s="3" t="n"/>
      <c r="J131" s="3" t="n"/>
      <c r="K131" t="n">
        <v>0</v>
      </c>
    </row>
    <row r="132">
      <c r="A132" t="inlineStr">
        <is>
          <t>L020</t>
        </is>
      </c>
      <c r="B132" s="6" t="n">
        <v>46071</v>
      </c>
      <c r="C132" t="inlineStr">
        <is>
          <t>EPA11</t>
        </is>
      </c>
      <c r="D132" t="n">
        <v>2</v>
      </c>
      <c r="E132" t="inlineStr">
        <is>
          <t>A012</t>
        </is>
      </c>
      <c r="F132" t="inlineStr">
        <is>
          <t>Faculty</t>
        </is>
      </c>
      <c r="G132" t="inlineStr">
        <is>
          <t>OPD</t>
        </is>
      </c>
      <c r="H132" t="inlineStr">
        <is>
          <t>CaseD</t>
        </is>
      </c>
      <c r="I132" s="3" t="inlineStr">
        <is>
          <t>Effective teamwork and closed-loop communication.</t>
        </is>
      </c>
      <c r="J132" s="3" t="inlineStr">
        <is>
          <t>Broaden the differential diagnosis and justify choices.</t>
        </is>
      </c>
      <c r="K132" t="n">
        <v>1</v>
      </c>
    </row>
    <row r="133">
      <c r="A133" t="inlineStr">
        <is>
          <t>L020</t>
        </is>
      </c>
      <c r="B133" s="6" t="n">
        <v>45912</v>
      </c>
      <c r="C133" t="inlineStr">
        <is>
          <t>EPA08</t>
        </is>
      </c>
      <c r="D133" t="n">
        <v>3</v>
      </c>
      <c r="E133" t="inlineStr">
        <is>
          <t>A001</t>
        </is>
      </c>
      <c r="F133" t="inlineStr">
        <is>
          <t>Faculty</t>
        </is>
      </c>
      <c r="G133" t="inlineStr">
        <is>
          <t>OPD</t>
        </is>
      </c>
      <c r="H133" t="inlineStr">
        <is>
          <t>CaseF</t>
        </is>
      </c>
      <c r="I133" s="3" t="inlineStr">
        <is>
          <t>Clear structure and communication.</t>
        </is>
      </c>
      <c r="J133" s="3" t="inlineStr">
        <is>
          <t>Be more concise and state the plan earlier.</t>
        </is>
      </c>
      <c r="K133" t="n">
        <v>0</v>
      </c>
    </row>
    <row r="134">
      <c r="A134" t="inlineStr">
        <is>
          <t>L001</t>
        </is>
      </c>
      <c r="B134" s="6" t="n">
        <v>45927</v>
      </c>
      <c r="C134" t="inlineStr">
        <is>
          <t>EPA11</t>
        </is>
      </c>
      <c r="D134" t="n">
        <v>5</v>
      </c>
      <c r="E134" t="inlineStr">
        <is>
          <t>A014</t>
        </is>
      </c>
      <c r="F134" t="inlineStr">
        <is>
          <t>Faculty</t>
        </is>
      </c>
      <c r="G134" t="inlineStr">
        <is>
          <t>ED</t>
        </is>
      </c>
      <c r="H134" t="inlineStr">
        <is>
          <t>CaseB</t>
        </is>
      </c>
      <c r="I134" s="3" t="inlineStr">
        <is>
          <t>Professional and patient-centered approach.</t>
        </is>
      </c>
      <c r="J134" s="3" t="n"/>
      <c r="K134" t="n">
        <v>0</v>
      </c>
    </row>
    <row r="135">
      <c r="A135" t="inlineStr">
        <is>
          <t>L010</t>
        </is>
      </c>
      <c r="B135" s="6" t="n">
        <v>46073</v>
      </c>
      <c r="C135" t="inlineStr">
        <is>
          <t>EPA11</t>
        </is>
      </c>
      <c r="D135" t="n">
        <v>5</v>
      </c>
      <c r="E135" t="inlineStr">
        <is>
          <t>A014</t>
        </is>
      </c>
      <c r="F135" t="inlineStr">
        <is>
          <t>Faculty</t>
        </is>
      </c>
      <c r="G135" t="inlineStr">
        <is>
          <t>Sim</t>
        </is>
      </c>
      <c r="H135" t="inlineStr">
        <is>
          <t>CaseC</t>
        </is>
      </c>
      <c r="I135" s="3" t="inlineStr">
        <is>
          <t>Appropriate prioritization and plan articulation.</t>
        </is>
      </c>
      <c r="J135" s="3" t="inlineStr">
        <is>
          <t>Document key times and decisions more clearly.</t>
        </is>
      </c>
      <c r="K135" t="n">
        <v>0</v>
      </c>
    </row>
    <row r="136">
      <c r="A136" t="inlineStr">
        <is>
          <t>L020</t>
        </is>
      </c>
      <c r="B136" s="6" t="n">
        <v>46036</v>
      </c>
      <c r="C136" t="inlineStr">
        <is>
          <t>EPA10</t>
        </is>
      </c>
      <c r="D136" t="n">
        <v>2</v>
      </c>
      <c r="E136" t="inlineStr">
        <is>
          <t>A015</t>
        </is>
      </c>
      <c r="F136" t="inlineStr">
        <is>
          <t>Faculty</t>
        </is>
      </c>
      <c r="G136" t="inlineStr">
        <is>
          <t>Sim</t>
        </is>
      </c>
      <c r="H136" t="inlineStr">
        <is>
          <t>CaseF</t>
        </is>
      </c>
      <c r="I136" s="3" t="n"/>
      <c r="J136" s="3" t="n"/>
      <c r="K136" t="n">
        <v>0</v>
      </c>
    </row>
    <row r="137">
      <c r="A137" t="inlineStr">
        <is>
          <t>L010</t>
        </is>
      </c>
      <c r="B137" s="6" t="n">
        <v>45984</v>
      </c>
      <c r="C137" t="inlineStr">
        <is>
          <t>EPA05</t>
        </is>
      </c>
      <c r="D137" t="n">
        <v>4</v>
      </c>
      <c r="E137" t="inlineStr">
        <is>
          <t>A008</t>
        </is>
      </c>
      <c r="F137" t="inlineStr">
        <is>
          <t>AlliedHealth</t>
        </is>
      </c>
      <c r="G137" t="inlineStr">
        <is>
          <t>OPD</t>
        </is>
      </c>
      <c r="H137" t="inlineStr">
        <is>
          <t>CaseC</t>
        </is>
      </c>
      <c r="I137" s="3" t="inlineStr">
        <is>
          <t>Professional and patient-centered approach.</t>
        </is>
      </c>
      <c r="J137" s="3" t="n"/>
      <c r="K137" t="n">
        <v>0</v>
      </c>
    </row>
    <row r="138">
      <c r="A138" t="inlineStr">
        <is>
          <t>L022</t>
        </is>
      </c>
      <c r="B138" s="6" t="n">
        <v>45992</v>
      </c>
      <c r="C138" t="inlineStr">
        <is>
          <t>EPA05</t>
        </is>
      </c>
      <c r="D138" t="n">
        <v>4</v>
      </c>
      <c r="E138" t="inlineStr">
        <is>
          <t>A005</t>
        </is>
      </c>
      <c r="F138" t="inlineStr">
        <is>
          <t>Faculty</t>
        </is>
      </c>
      <c r="G138" t="inlineStr">
        <is>
          <t>ED</t>
        </is>
      </c>
      <c r="H138" t="inlineStr">
        <is>
          <t>CaseF</t>
        </is>
      </c>
      <c r="I138" s="3" t="inlineStr">
        <is>
          <t>Professional and patient-centered approach.</t>
        </is>
      </c>
      <c r="J138" s="3" t="inlineStr">
        <is>
          <t>Be more concise and state the plan earlier.</t>
        </is>
      </c>
      <c r="K138" t="n">
        <v>0</v>
      </c>
    </row>
    <row r="139">
      <c r="A139" t="inlineStr">
        <is>
          <t>L002</t>
        </is>
      </c>
      <c r="B139" s="6" t="n">
        <v>45954</v>
      </c>
      <c r="C139" t="inlineStr">
        <is>
          <t>EPA06</t>
        </is>
      </c>
      <c r="D139" t="n">
        <v>3</v>
      </c>
      <c r="E139" t="inlineStr">
        <is>
          <t>A010</t>
        </is>
      </c>
      <c r="F139" t="inlineStr">
        <is>
          <t>Faculty</t>
        </is>
      </c>
      <c r="G139" t="inlineStr">
        <is>
          <t>ED</t>
        </is>
      </c>
      <c r="H139" t="inlineStr">
        <is>
          <t>CaseB</t>
        </is>
      </c>
      <c r="I139" s="3" t="n"/>
      <c r="J139" s="3" t="n"/>
      <c r="K139" t="n">
        <v>0</v>
      </c>
    </row>
    <row r="140">
      <c r="A140" t="inlineStr">
        <is>
          <t>L011</t>
        </is>
      </c>
      <c r="B140" s="6" t="n">
        <v>46016</v>
      </c>
      <c r="C140" t="inlineStr">
        <is>
          <t>EPA10</t>
        </is>
      </c>
      <c r="D140" t="n">
        <v>3</v>
      </c>
      <c r="E140" t="inlineStr">
        <is>
          <t>A001</t>
        </is>
      </c>
      <c r="F140" t="inlineStr">
        <is>
          <t>Faculty</t>
        </is>
      </c>
      <c r="G140" t="inlineStr">
        <is>
          <t>OPD</t>
        </is>
      </c>
      <c r="H140" t="inlineStr">
        <is>
          <t>CaseA</t>
        </is>
      </c>
      <c r="I140" s="3" t="inlineStr">
        <is>
          <t>Clear structure and communication.</t>
        </is>
      </c>
      <c r="J140" s="3" t="inlineStr">
        <is>
          <t>Document key times and decisions more clearly.</t>
        </is>
      </c>
      <c r="K140" t="n">
        <v>0</v>
      </c>
    </row>
    <row r="141">
      <c r="A141" t="inlineStr">
        <is>
          <t>L021</t>
        </is>
      </c>
      <c r="B141" s="6" t="n">
        <v>45895</v>
      </c>
      <c r="C141" t="inlineStr">
        <is>
          <t>EPA10</t>
        </is>
      </c>
      <c r="D141" t="n">
        <v>4</v>
      </c>
      <c r="E141" t="inlineStr">
        <is>
          <t>A011</t>
        </is>
      </c>
      <c r="F141" t="inlineStr">
        <is>
          <t>Nurse</t>
        </is>
      </c>
      <c r="G141" t="inlineStr">
        <is>
          <t>OR</t>
        </is>
      </c>
      <c r="H141" t="inlineStr">
        <is>
          <t>CaseE</t>
        </is>
      </c>
      <c r="I141" s="3" t="inlineStr">
        <is>
          <t>Appropriate prioritization and plan articulation.</t>
        </is>
      </c>
      <c r="J141" s="3" t="inlineStr">
        <is>
          <t>Document key times and decisions more clearly.</t>
        </is>
      </c>
      <c r="K141" t="n">
        <v>0</v>
      </c>
    </row>
    <row r="142">
      <c r="A142" t="inlineStr">
        <is>
          <t>L008</t>
        </is>
      </c>
      <c r="B142" s="6" t="n">
        <v>45911</v>
      </c>
      <c r="C142" t="inlineStr">
        <is>
          <t>EPA12</t>
        </is>
      </c>
      <c r="D142" t="n">
        <v>5</v>
      </c>
      <c r="E142" t="inlineStr">
        <is>
          <t>A001</t>
        </is>
      </c>
      <c r="F142" t="inlineStr">
        <is>
          <t>Faculty</t>
        </is>
      </c>
      <c r="G142" t="inlineStr">
        <is>
          <t>OPD</t>
        </is>
      </c>
      <c r="H142" t="inlineStr">
        <is>
          <t>CaseD</t>
        </is>
      </c>
      <c r="I142" s="3" t="n"/>
      <c r="J142" s="3" t="n"/>
      <c r="K142" t="n">
        <v>0</v>
      </c>
    </row>
    <row r="143">
      <c r="A143" t="inlineStr">
        <is>
          <t>L018</t>
        </is>
      </c>
      <c r="B143" s="6" t="n">
        <v>45897</v>
      </c>
      <c r="C143" t="inlineStr">
        <is>
          <t>EPA02</t>
        </is>
      </c>
      <c r="D143" t="n">
        <v>4</v>
      </c>
      <c r="E143" t="inlineStr">
        <is>
          <t>A014</t>
        </is>
      </c>
      <c r="F143" t="inlineStr">
        <is>
          <t>Faculty</t>
        </is>
      </c>
      <c r="G143" t="inlineStr">
        <is>
          <t>OR</t>
        </is>
      </c>
      <c r="H143" t="inlineStr">
        <is>
          <t>CaseE</t>
        </is>
      </c>
      <c r="I143" s="3" t="inlineStr">
        <is>
          <t>Good clinical reasoning with key findings identified.</t>
        </is>
      </c>
      <c r="J143" s="3" t="inlineStr">
        <is>
          <t>Increase efficiency while maintaining safety checks.</t>
        </is>
      </c>
      <c r="K143" t="n">
        <v>0</v>
      </c>
    </row>
    <row r="144">
      <c r="A144" t="inlineStr">
        <is>
          <t>L019</t>
        </is>
      </c>
      <c r="B144" s="6" t="n">
        <v>46038</v>
      </c>
      <c r="C144" t="inlineStr">
        <is>
          <t>EPA02</t>
        </is>
      </c>
      <c r="D144" t="n">
        <v>3</v>
      </c>
      <c r="E144" t="inlineStr">
        <is>
          <t>A004</t>
        </is>
      </c>
      <c r="F144" t="inlineStr">
        <is>
          <t>Faculty</t>
        </is>
      </c>
      <c r="G144" t="inlineStr">
        <is>
          <t>Ward</t>
        </is>
      </c>
      <c r="H144" t="inlineStr">
        <is>
          <t>CaseE</t>
        </is>
      </c>
      <c r="I144" s="3" t="inlineStr">
        <is>
          <t>Effective teamwork and closed-loop communication.</t>
        </is>
      </c>
      <c r="J144" s="3" t="inlineStr">
        <is>
          <t>Be more concise and state the plan earlier.</t>
        </is>
      </c>
      <c r="K144" t="n">
        <v>0</v>
      </c>
    </row>
    <row r="145">
      <c r="A145" t="inlineStr">
        <is>
          <t>L006</t>
        </is>
      </c>
      <c r="B145" s="6" t="n">
        <v>45902</v>
      </c>
      <c r="C145" t="inlineStr">
        <is>
          <t>EPA02</t>
        </is>
      </c>
      <c r="D145" t="n">
        <v>3</v>
      </c>
      <c r="E145" t="inlineStr">
        <is>
          <t>A002</t>
        </is>
      </c>
      <c r="F145" t="inlineStr">
        <is>
          <t>Faculty</t>
        </is>
      </c>
      <c r="G145" t="inlineStr">
        <is>
          <t>ED</t>
        </is>
      </c>
      <c r="H145" t="inlineStr">
        <is>
          <t>CaseD</t>
        </is>
      </c>
      <c r="I145" s="3" t="n"/>
      <c r="J145" s="3" t="n"/>
      <c r="K145" t="n">
        <v>0</v>
      </c>
    </row>
    <row r="146">
      <c r="A146" t="inlineStr">
        <is>
          <t>L024</t>
        </is>
      </c>
      <c r="B146" s="6" t="n">
        <v>46037</v>
      </c>
      <c r="C146" t="inlineStr">
        <is>
          <t>EPA02</t>
        </is>
      </c>
      <c r="D146" t="n">
        <v>4</v>
      </c>
      <c r="E146" t="inlineStr">
        <is>
          <t>A003</t>
        </is>
      </c>
      <c r="F146" t="inlineStr">
        <is>
          <t>Faculty</t>
        </is>
      </c>
      <c r="G146" t="inlineStr">
        <is>
          <t>OR</t>
        </is>
      </c>
      <c r="H146" t="inlineStr">
        <is>
          <t>CaseB</t>
        </is>
      </c>
      <c r="I146" s="3" t="inlineStr">
        <is>
          <t>Clear structure and communication.</t>
        </is>
      </c>
      <c r="J146" s="3" t="inlineStr">
        <is>
          <t>Increase efficiency while maintaining safety checks.</t>
        </is>
      </c>
      <c r="K146" t="n">
        <v>0</v>
      </c>
    </row>
    <row r="147">
      <c r="A147" t="inlineStr">
        <is>
          <t>L018</t>
        </is>
      </c>
      <c r="B147" s="6" t="n">
        <v>46065</v>
      </c>
      <c r="C147" t="inlineStr">
        <is>
          <t>EPA01</t>
        </is>
      </c>
      <c r="D147" t="n">
        <v>4</v>
      </c>
      <c r="E147" t="inlineStr">
        <is>
          <t>A012</t>
        </is>
      </c>
      <c r="F147" t="inlineStr">
        <is>
          <t>Faculty</t>
        </is>
      </c>
      <c r="G147" t="inlineStr">
        <is>
          <t>Sim</t>
        </is>
      </c>
      <c r="H147" t="inlineStr">
        <is>
          <t>CaseF</t>
        </is>
      </c>
      <c r="I147" s="3" t="inlineStr">
        <is>
          <t>Clear structure and communication.</t>
        </is>
      </c>
      <c r="J147" s="3" t="inlineStr">
        <is>
          <t>Broaden the differential diagnosis and justify choices.</t>
        </is>
      </c>
      <c r="K147" t="n">
        <v>0</v>
      </c>
    </row>
    <row r="148">
      <c r="A148" t="inlineStr">
        <is>
          <t>L025</t>
        </is>
      </c>
      <c r="B148" s="6" t="n">
        <v>45916</v>
      </c>
      <c r="C148" t="inlineStr">
        <is>
          <t>EPA07</t>
        </is>
      </c>
      <c r="D148" t="n">
        <v>3</v>
      </c>
      <c r="E148" t="inlineStr">
        <is>
          <t>A004</t>
        </is>
      </c>
      <c r="F148" t="inlineStr">
        <is>
          <t>Faculty</t>
        </is>
      </c>
      <c r="G148" t="inlineStr">
        <is>
          <t>ED</t>
        </is>
      </c>
      <c r="H148" t="inlineStr">
        <is>
          <t>CaseE</t>
        </is>
      </c>
      <c r="I148" s="3" t="inlineStr">
        <is>
          <t>Effective teamwork and closed-loop communication.</t>
        </is>
      </c>
      <c r="J148" s="3" t="inlineStr">
        <is>
          <t>Clarify escalation criteria and communicate proactively.</t>
        </is>
      </c>
      <c r="K148" t="n">
        <v>0</v>
      </c>
    </row>
    <row r="149">
      <c r="A149" t="inlineStr">
        <is>
          <t>L005</t>
        </is>
      </c>
      <c r="B149" s="6" t="n">
        <v>45996</v>
      </c>
      <c r="C149" t="inlineStr">
        <is>
          <t>EPA05</t>
        </is>
      </c>
      <c r="D149" t="n">
        <v>4</v>
      </c>
      <c r="E149" t="inlineStr">
        <is>
          <t>A010</t>
        </is>
      </c>
      <c r="F149" t="inlineStr">
        <is>
          <t>Faculty</t>
        </is>
      </c>
      <c r="G149" t="inlineStr">
        <is>
          <t>ED</t>
        </is>
      </c>
      <c r="H149" t="inlineStr">
        <is>
          <t>CaseG</t>
        </is>
      </c>
      <c r="I149" s="3" t="inlineStr">
        <is>
          <t>Effective teamwork and closed-loop communication.</t>
        </is>
      </c>
      <c r="J149" s="3" t="inlineStr">
        <is>
          <t>Broaden the differential diagnosis and justify choices.</t>
        </is>
      </c>
      <c r="K149" t="n">
        <v>0</v>
      </c>
    </row>
    <row r="150">
      <c r="A150" t="inlineStr">
        <is>
          <t>L016</t>
        </is>
      </c>
      <c r="B150" s="6" t="n">
        <v>46044</v>
      </c>
      <c r="C150" t="inlineStr">
        <is>
          <t>EPA04</t>
        </is>
      </c>
      <c r="D150" t="n">
        <v>5</v>
      </c>
      <c r="E150" t="inlineStr">
        <is>
          <t>A013</t>
        </is>
      </c>
      <c r="F150" t="inlineStr">
        <is>
          <t>Nurse</t>
        </is>
      </c>
      <c r="G150" t="inlineStr">
        <is>
          <t>ICU</t>
        </is>
      </c>
      <c r="H150" t="inlineStr">
        <is>
          <t>CaseB</t>
        </is>
      </c>
      <c r="I150" s="3" t="inlineStr">
        <is>
          <t>Professional and patient-centered approach.</t>
        </is>
      </c>
      <c r="J150" s="3" t="inlineStr">
        <is>
          <t>Clarify escalation criteria and communicate proactively.</t>
        </is>
      </c>
      <c r="K150" t="n">
        <v>0</v>
      </c>
    </row>
    <row r="151">
      <c r="A151" t="inlineStr">
        <is>
          <t>L024</t>
        </is>
      </c>
      <c r="B151" s="6" t="n">
        <v>46022</v>
      </c>
      <c r="C151" t="inlineStr">
        <is>
          <t>EPA07</t>
        </is>
      </c>
      <c r="D151" t="n">
        <v>3</v>
      </c>
      <c r="E151" t="inlineStr">
        <is>
          <t>A011</t>
        </is>
      </c>
      <c r="F151" t="inlineStr">
        <is>
          <t>Nurse</t>
        </is>
      </c>
      <c r="G151" t="inlineStr">
        <is>
          <t>OR</t>
        </is>
      </c>
      <c r="H151" t="inlineStr">
        <is>
          <t>CaseA</t>
        </is>
      </c>
      <c r="I151" s="3" t="inlineStr">
        <is>
          <t>Appropriate prioritization and plan articulation.</t>
        </is>
      </c>
      <c r="J151" s="3" t="inlineStr">
        <is>
          <t>Broaden the differential diagnosis and justify choices.</t>
        </is>
      </c>
      <c r="K151" t="n">
        <v>0</v>
      </c>
    </row>
    <row r="152">
      <c r="A152" t="inlineStr">
        <is>
          <t>L004</t>
        </is>
      </c>
      <c r="B152" s="6" t="n">
        <v>45927</v>
      </c>
      <c r="C152" t="inlineStr">
        <is>
          <t>EPA11</t>
        </is>
      </c>
      <c r="D152" t="n">
        <v>5</v>
      </c>
      <c r="E152" t="inlineStr">
        <is>
          <t>A012</t>
        </is>
      </c>
      <c r="F152" t="inlineStr">
        <is>
          <t>Faculty</t>
        </is>
      </c>
      <c r="G152" t="inlineStr">
        <is>
          <t>OPD</t>
        </is>
      </c>
      <c r="H152" t="inlineStr">
        <is>
          <t>CaseE</t>
        </is>
      </c>
      <c r="I152" s="3" t="inlineStr">
        <is>
          <t>Clear structure and communication.</t>
        </is>
      </c>
      <c r="J152" s="3" t="inlineStr">
        <is>
          <t>Be more concise and state the plan earlier.</t>
        </is>
      </c>
      <c r="K152" t="n">
        <v>0</v>
      </c>
    </row>
    <row r="153">
      <c r="A153" t="inlineStr">
        <is>
          <t>L016</t>
        </is>
      </c>
      <c r="B153" s="6" t="n">
        <v>45914</v>
      </c>
      <c r="C153" t="inlineStr">
        <is>
          <t>EPA08</t>
        </is>
      </c>
      <c r="D153" t="n">
        <v>4</v>
      </c>
      <c r="E153" t="inlineStr">
        <is>
          <t>A015</t>
        </is>
      </c>
      <c r="F153" t="inlineStr">
        <is>
          <t>Faculty</t>
        </is>
      </c>
      <c r="G153" t="inlineStr">
        <is>
          <t>ED</t>
        </is>
      </c>
      <c r="H153" t="inlineStr">
        <is>
          <t>CaseA</t>
        </is>
      </c>
      <c r="I153" s="3" t="inlineStr">
        <is>
          <t>Clear structure and communication.</t>
        </is>
      </c>
      <c r="J153" s="3" t="inlineStr">
        <is>
          <t>Document key times and decisions more clearly.</t>
        </is>
      </c>
      <c r="K153" t="n">
        <v>0</v>
      </c>
    </row>
    <row r="154">
      <c r="A154" t="inlineStr">
        <is>
          <t>L008</t>
        </is>
      </c>
      <c r="B154" s="6" t="n">
        <v>45895</v>
      </c>
      <c r="C154" t="inlineStr">
        <is>
          <t>EPA04</t>
        </is>
      </c>
      <c r="D154" t="n">
        <v>4</v>
      </c>
      <c r="E154" t="inlineStr">
        <is>
          <t>A009</t>
        </is>
      </c>
      <c r="F154" t="inlineStr">
        <is>
          <t>AlliedHealth</t>
        </is>
      </c>
      <c r="G154" t="inlineStr">
        <is>
          <t>OPD</t>
        </is>
      </c>
      <c r="H154" t="inlineStr">
        <is>
          <t>CaseG</t>
        </is>
      </c>
      <c r="I154" s="3" t="inlineStr">
        <is>
          <t>Good clinical reasoning with key findings identified.</t>
        </is>
      </c>
      <c r="J154" s="3" t="inlineStr">
        <is>
          <t>Clarify escalation criteria and communicate proactively.</t>
        </is>
      </c>
      <c r="K154" t="n">
        <v>0</v>
      </c>
    </row>
    <row r="155">
      <c r="A155" t="inlineStr">
        <is>
          <t>L003</t>
        </is>
      </c>
      <c r="B155" s="6" t="n">
        <v>45996</v>
      </c>
      <c r="C155" t="inlineStr">
        <is>
          <t>EPA09</t>
        </is>
      </c>
      <c r="D155" t="n">
        <v>3</v>
      </c>
      <c r="E155" t="inlineStr">
        <is>
          <t>A004</t>
        </is>
      </c>
      <c r="F155" t="inlineStr">
        <is>
          <t>Faculty</t>
        </is>
      </c>
      <c r="G155" t="inlineStr">
        <is>
          <t>ED</t>
        </is>
      </c>
      <c r="H155" t="inlineStr">
        <is>
          <t>CaseE</t>
        </is>
      </c>
      <c r="I155" s="3" t="inlineStr">
        <is>
          <t>Clear structure and communication.</t>
        </is>
      </c>
      <c r="J155" s="3" t="inlineStr">
        <is>
          <t>Increase efficiency while maintaining safety checks.</t>
        </is>
      </c>
      <c r="K155" t="n">
        <v>0</v>
      </c>
    </row>
    <row r="156">
      <c r="A156" t="inlineStr">
        <is>
          <t>L014</t>
        </is>
      </c>
      <c r="B156" s="6" t="n">
        <v>46054</v>
      </c>
      <c r="C156" t="inlineStr">
        <is>
          <t>EPA12</t>
        </is>
      </c>
      <c r="D156" t="n">
        <v>5</v>
      </c>
      <c r="E156" t="inlineStr">
        <is>
          <t>A009</t>
        </is>
      </c>
      <c r="F156" t="inlineStr">
        <is>
          <t>AlliedHealth</t>
        </is>
      </c>
      <c r="G156" t="inlineStr">
        <is>
          <t>ICU</t>
        </is>
      </c>
      <c r="H156" t="inlineStr">
        <is>
          <t>CaseE</t>
        </is>
      </c>
      <c r="I156" s="3" t="inlineStr">
        <is>
          <t>Good clinical reasoning with key findings identified.</t>
        </is>
      </c>
      <c r="J156" s="3" t="inlineStr">
        <is>
          <t>Be more concise and state the plan earlier.</t>
        </is>
      </c>
      <c r="K156" t="n">
        <v>0</v>
      </c>
    </row>
    <row r="157">
      <c r="A157" t="inlineStr">
        <is>
          <t>L011</t>
        </is>
      </c>
      <c r="B157" s="6" t="n">
        <v>46032</v>
      </c>
      <c r="C157" t="inlineStr">
        <is>
          <t>EPA02</t>
        </is>
      </c>
      <c r="D157" t="n">
        <v>2</v>
      </c>
      <c r="E157" t="inlineStr">
        <is>
          <t>A009</t>
        </is>
      </c>
      <c r="F157" t="inlineStr">
        <is>
          <t>AlliedHealth</t>
        </is>
      </c>
      <c r="G157" t="inlineStr">
        <is>
          <t>OPD</t>
        </is>
      </c>
      <c r="H157" t="inlineStr">
        <is>
          <t>CaseG</t>
        </is>
      </c>
      <c r="I157" s="3" t="n"/>
      <c r="J157" s="3" t="n"/>
      <c r="K157" t="n">
        <v>0</v>
      </c>
    </row>
    <row r="158">
      <c r="A158" t="inlineStr">
        <is>
          <t>L023</t>
        </is>
      </c>
      <c r="B158" s="6" t="n">
        <v>46028</v>
      </c>
      <c r="C158" t="inlineStr">
        <is>
          <t>EPA03</t>
        </is>
      </c>
      <c r="D158" t="n">
        <v>5</v>
      </c>
      <c r="E158" t="inlineStr">
        <is>
          <t>A011</t>
        </is>
      </c>
      <c r="F158" t="inlineStr">
        <is>
          <t>Nurse</t>
        </is>
      </c>
      <c r="G158" t="inlineStr">
        <is>
          <t>OPD</t>
        </is>
      </c>
      <c r="H158" t="inlineStr">
        <is>
          <t>CaseC</t>
        </is>
      </c>
      <c r="I158" s="3" t="n"/>
      <c r="J158" s="3" t="n"/>
      <c r="K158" t="n">
        <v>0</v>
      </c>
    </row>
    <row r="159">
      <c r="A159" t="inlineStr">
        <is>
          <t>L022</t>
        </is>
      </c>
      <c r="B159" s="6" t="n">
        <v>46043</v>
      </c>
      <c r="C159" t="inlineStr">
        <is>
          <t>EPA02</t>
        </is>
      </c>
      <c r="D159" t="n">
        <v>3</v>
      </c>
      <c r="E159" t="inlineStr">
        <is>
          <t>A003</t>
        </is>
      </c>
      <c r="F159" t="inlineStr">
        <is>
          <t>Faculty</t>
        </is>
      </c>
      <c r="G159" t="inlineStr">
        <is>
          <t>ED</t>
        </is>
      </c>
      <c r="H159" t="inlineStr">
        <is>
          <t>CaseF</t>
        </is>
      </c>
      <c r="I159" s="3" t="inlineStr">
        <is>
          <t>Clear structure and communication.</t>
        </is>
      </c>
      <c r="J159" s="3" t="inlineStr">
        <is>
          <t>Broaden the differential diagnosis and justify choices.</t>
        </is>
      </c>
      <c r="K159" t="n">
        <v>0</v>
      </c>
    </row>
    <row r="160">
      <c r="A160" t="inlineStr">
        <is>
          <t>L008</t>
        </is>
      </c>
      <c r="B160" s="6" t="n">
        <v>46032</v>
      </c>
      <c r="C160" t="inlineStr">
        <is>
          <t>EPA04</t>
        </is>
      </c>
      <c r="D160" t="n">
        <v>4</v>
      </c>
      <c r="E160" t="inlineStr">
        <is>
          <t>A006</t>
        </is>
      </c>
      <c r="F160" t="inlineStr">
        <is>
          <t>Faculty</t>
        </is>
      </c>
      <c r="G160" t="inlineStr">
        <is>
          <t>ED</t>
        </is>
      </c>
      <c r="H160" t="inlineStr">
        <is>
          <t>CaseA</t>
        </is>
      </c>
      <c r="I160" s="3" t="inlineStr">
        <is>
          <t>Good clinical reasoning with key findings identified.</t>
        </is>
      </c>
      <c r="J160" s="3" t="inlineStr">
        <is>
          <t>Increase efficiency while maintaining safety checks.</t>
        </is>
      </c>
      <c r="K160" t="n">
        <v>0</v>
      </c>
    </row>
    <row r="161">
      <c r="A161" t="inlineStr">
        <is>
          <t>L012</t>
        </is>
      </c>
      <c r="B161" s="6" t="n">
        <v>46032</v>
      </c>
      <c r="C161" t="inlineStr">
        <is>
          <t>EPA04</t>
        </is>
      </c>
      <c r="D161" t="n">
        <v>4</v>
      </c>
      <c r="E161" t="inlineStr">
        <is>
          <t>A007</t>
        </is>
      </c>
      <c r="F161" t="inlineStr">
        <is>
          <t>Faculty</t>
        </is>
      </c>
      <c r="G161" t="inlineStr">
        <is>
          <t>OR</t>
        </is>
      </c>
      <c r="H161" t="inlineStr">
        <is>
          <t>CaseA</t>
        </is>
      </c>
      <c r="I161" s="3" t="n"/>
      <c r="J161" s="3" t="n"/>
      <c r="K161" t="n">
        <v>0</v>
      </c>
    </row>
    <row r="162">
      <c r="A162" t="inlineStr">
        <is>
          <t>L001</t>
        </is>
      </c>
      <c r="B162" s="6" t="n">
        <v>45992</v>
      </c>
      <c r="C162" t="inlineStr">
        <is>
          <t>EPA08</t>
        </is>
      </c>
      <c r="D162" t="n">
        <v>4</v>
      </c>
      <c r="E162" t="inlineStr">
        <is>
          <t>A004</t>
        </is>
      </c>
      <c r="F162" t="inlineStr">
        <is>
          <t>Faculty</t>
        </is>
      </c>
      <c r="G162" t="inlineStr">
        <is>
          <t>ED</t>
        </is>
      </c>
      <c r="H162" t="inlineStr">
        <is>
          <t>CaseC</t>
        </is>
      </c>
      <c r="I162" s="3" t="n"/>
      <c r="J162" s="3" t="n"/>
      <c r="K162" t="n">
        <v>0</v>
      </c>
    </row>
    <row r="163">
      <c r="A163" t="inlineStr">
        <is>
          <t>L012</t>
        </is>
      </c>
      <c r="B163" s="6" t="n">
        <v>45962</v>
      </c>
      <c r="C163" t="inlineStr">
        <is>
          <t>EPA04</t>
        </is>
      </c>
      <c r="D163" t="n">
        <v>3</v>
      </c>
      <c r="E163" t="inlineStr">
        <is>
          <t>A002</t>
        </is>
      </c>
      <c r="F163" t="inlineStr">
        <is>
          <t>Faculty</t>
        </is>
      </c>
      <c r="G163" t="inlineStr">
        <is>
          <t>ICU</t>
        </is>
      </c>
      <c r="H163" t="inlineStr">
        <is>
          <t>CaseB</t>
        </is>
      </c>
      <c r="I163" s="3" t="n"/>
      <c r="J163" s="3" t="n"/>
      <c r="K163" t="n">
        <v>0</v>
      </c>
    </row>
    <row r="164">
      <c r="A164" t="inlineStr">
        <is>
          <t>L007</t>
        </is>
      </c>
      <c r="B164" s="6" t="n">
        <v>46053</v>
      </c>
      <c r="C164" t="inlineStr">
        <is>
          <t>EPA12</t>
        </is>
      </c>
      <c r="D164" t="n">
        <v>3</v>
      </c>
      <c r="E164" t="inlineStr">
        <is>
          <t>A005</t>
        </is>
      </c>
      <c r="F164" t="inlineStr">
        <is>
          <t>Faculty</t>
        </is>
      </c>
      <c r="G164" t="inlineStr">
        <is>
          <t>Ward</t>
        </is>
      </c>
      <c r="H164" t="inlineStr">
        <is>
          <t>CaseF</t>
        </is>
      </c>
      <c r="I164" s="3" t="inlineStr">
        <is>
          <t>Professional and patient-centered approach.</t>
        </is>
      </c>
      <c r="J164" s="3" t="inlineStr">
        <is>
          <t>Increase efficiency while maintaining safety checks.</t>
        </is>
      </c>
      <c r="K164" t="n">
        <v>0</v>
      </c>
    </row>
    <row r="165">
      <c r="A165" t="inlineStr">
        <is>
          <t>L020</t>
        </is>
      </c>
      <c r="B165" s="6" t="n">
        <v>46058</v>
      </c>
      <c r="C165" t="inlineStr">
        <is>
          <t>EPA08</t>
        </is>
      </c>
      <c r="D165" t="n">
        <v>2</v>
      </c>
      <c r="E165" t="inlineStr">
        <is>
          <t>A014</t>
        </is>
      </c>
      <c r="F165" t="inlineStr">
        <is>
          <t>Faculty</t>
        </is>
      </c>
      <c r="G165" t="inlineStr">
        <is>
          <t>Ward</t>
        </is>
      </c>
      <c r="H165" t="inlineStr">
        <is>
          <t>CaseF</t>
        </is>
      </c>
      <c r="I165" s="3" t="inlineStr">
        <is>
          <t>Good clinical reasoning with key findings identified.</t>
        </is>
      </c>
      <c r="J165" s="3" t="inlineStr">
        <is>
          <t>Broaden the differential diagnosis and justify choices.</t>
        </is>
      </c>
      <c r="K165" t="n">
        <v>0</v>
      </c>
    </row>
    <row r="166">
      <c r="A166" t="inlineStr">
        <is>
          <t>L024</t>
        </is>
      </c>
      <c r="B166" s="6" t="n">
        <v>45966</v>
      </c>
      <c r="C166" t="inlineStr">
        <is>
          <t>EPA02</t>
        </is>
      </c>
      <c r="D166" t="n">
        <v>3</v>
      </c>
      <c r="E166" t="inlineStr">
        <is>
          <t>A006</t>
        </is>
      </c>
      <c r="F166" t="inlineStr">
        <is>
          <t>Faculty</t>
        </is>
      </c>
      <c r="G166" t="inlineStr">
        <is>
          <t>OR</t>
        </is>
      </c>
      <c r="H166" t="inlineStr">
        <is>
          <t>CaseG</t>
        </is>
      </c>
      <c r="I166" s="3" t="n"/>
      <c r="J166" s="3" t="n"/>
      <c r="K166" t="n">
        <v>0</v>
      </c>
    </row>
    <row r="167">
      <c r="A167" t="inlineStr">
        <is>
          <t>L015</t>
        </is>
      </c>
      <c r="B167" s="6" t="n">
        <v>46015</v>
      </c>
      <c r="C167" t="inlineStr">
        <is>
          <t>EPA11</t>
        </is>
      </c>
      <c r="D167" t="n">
        <v>3</v>
      </c>
      <c r="E167" t="inlineStr">
        <is>
          <t>A012</t>
        </is>
      </c>
      <c r="F167" t="inlineStr">
        <is>
          <t>Faculty</t>
        </is>
      </c>
      <c r="G167" t="inlineStr">
        <is>
          <t>OPD</t>
        </is>
      </c>
      <c r="H167" t="inlineStr">
        <is>
          <t>CaseD</t>
        </is>
      </c>
      <c r="I167" s="3" t="inlineStr">
        <is>
          <t>Professional and patient-centered approach.</t>
        </is>
      </c>
      <c r="J167" s="3" t="inlineStr">
        <is>
          <t>Clarify escalation criteria and communicate proactively.</t>
        </is>
      </c>
      <c r="K167" t="n">
        <v>0</v>
      </c>
    </row>
    <row r="168">
      <c r="A168" t="inlineStr">
        <is>
          <t>L023</t>
        </is>
      </c>
      <c r="B168" s="6" t="n">
        <v>46070</v>
      </c>
      <c r="C168" t="inlineStr">
        <is>
          <t>EPA11</t>
        </is>
      </c>
      <c r="D168" t="n">
        <v>4</v>
      </c>
      <c r="E168" t="inlineStr">
        <is>
          <t>A001</t>
        </is>
      </c>
      <c r="F168" t="inlineStr">
        <is>
          <t>Faculty</t>
        </is>
      </c>
      <c r="G168" t="inlineStr">
        <is>
          <t>OR</t>
        </is>
      </c>
      <c r="H168" t="inlineStr">
        <is>
          <t>CaseC</t>
        </is>
      </c>
      <c r="I168" s="3" t="n"/>
      <c r="J168" s="3" t="n"/>
      <c r="K168" t="n">
        <v>0</v>
      </c>
    </row>
    <row r="169">
      <c r="A169" t="inlineStr">
        <is>
          <t>L025</t>
        </is>
      </c>
      <c r="B169" s="6" t="n">
        <v>45976</v>
      </c>
      <c r="C169" t="inlineStr">
        <is>
          <t>EPA11</t>
        </is>
      </c>
      <c r="D169" t="n">
        <v>3</v>
      </c>
      <c r="E169" t="inlineStr">
        <is>
          <t>A007</t>
        </is>
      </c>
      <c r="F169" t="inlineStr">
        <is>
          <t>Faculty</t>
        </is>
      </c>
      <c r="G169" t="inlineStr">
        <is>
          <t>ICU</t>
        </is>
      </c>
      <c r="H169" t="inlineStr">
        <is>
          <t>CaseB</t>
        </is>
      </c>
      <c r="I169" s="3" t="inlineStr">
        <is>
          <t>Effective teamwork and closed-loop communication.</t>
        </is>
      </c>
      <c r="J169" s="3" t="n"/>
      <c r="K169" t="n">
        <v>0</v>
      </c>
    </row>
    <row r="170">
      <c r="A170" t="inlineStr">
        <is>
          <t>L013</t>
        </is>
      </c>
      <c r="B170" s="6" t="n">
        <v>46024</v>
      </c>
      <c r="C170" t="inlineStr">
        <is>
          <t>EPA06</t>
        </is>
      </c>
      <c r="D170" t="n">
        <v>3</v>
      </c>
      <c r="E170" t="inlineStr">
        <is>
          <t>A007</t>
        </is>
      </c>
      <c r="F170" t="inlineStr">
        <is>
          <t>Faculty</t>
        </is>
      </c>
      <c r="G170" t="inlineStr">
        <is>
          <t>Sim</t>
        </is>
      </c>
      <c r="H170" t="inlineStr">
        <is>
          <t>CaseE</t>
        </is>
      </c>
      <c r="I170" s="3" t="inlineStr">
        <is>
          <t>Clear structure and communication.</t>
        </is>
      </c>
      <c r="J170" s="3" t="inlineStr">
        <is>
          <t>Document key times and decisions more clearly.</t>
        </is>
      </c>
      <c r="K170" t="n">
        <v>0</v>
      </c>
    </row>
    <row r="171">
      <c r="A171" t="inlineStr">
        <is>
          <t>L012</t>
        </is>
      </c>
      <c r="B171" s="6" t="n">
        <v>45959</v>
      </c>
      <c r="C171" t="inlineStr">
        <is>
          <t>EPA06</t>
        </is>
      </c>
      <c r="D171" t="n">
        <v>3</v>
      </c>
      <c r="E171" t="inlineStr">
        <is>
          <t>A005</t>
        </is>
      </c>
      <c r="F171" t="inlineStr">
        <is>
          <t>Faculty</t>
        </is>
      </c>
      <c r="G171" t="inlineStr">
        <is>
          <t>OR</t>
        </is>
      </c>
      <c r="H171" t="inlineStr">
        <is>
          <t>CaseC</t>
        </is>
      </c>
      <c r="I171" s="3" t="inlineStr">
        <is>
          <t>Professional and patient-centered approach.</t>
        </is>
      </c>
      <c r="J171" s="3" t="inlineStr">
        <is>
          <t>Document key times and decisions more clearly.</t>
        </is>
      </c>
      <c r="K171" t="n">
        <v>0</v>
      </c>
    </row>
    <row r="172">
      <c r="A172" t="inlineStr">
        <is>
          <t>L004</t>
        </is>
      </c>
      <c r="B172" s="6" t="n">
        <v>45968</v>
      </c>
      <c r="C172" t="inlineStr">
        <is>
          <t>EPA07</t>
        </is>
      </c>
      <c r="D172" t="n">
        <v>3</v>
      </c>
      <c r="E172" t="inlineStr">
        <is>
          <t>A006</t>
        </is>
      </c>
      <c r="F172" t="inlineStr">
        <is>
          <t>Faculty</t>
        </is>
      </c>
      <c r="G172" t="inlineStr">
        <is>
          <t>ED</t>
        </is>
      </c>
      <c r="H172" t="inlineStr">
        <is>
          <t>CaseD</t>
        </is>
      </c>
      <c r="I172" s="3" t="inlineStr">
        <is>
          <t>Good clinical reasoning with key findings identified.</t>
        </is>
      </c>
      <c r="J172" s="3" t="inlineStr">
        <is>
          <t>Document key times and decisions more clearly.</t>
        </is>
      </c>
      <c r="K172" t="n">
        <v>0</v>
      </c>
    </row>
    <row r="173">
      <c r="A173" t="inlineStr">
        <is>
          <t>L011</t>
        </is>
      </c>
      <c r="B173" s="6" t="n">
        <v>45913</v>
      </c>
      <c r="C173" t="inlineStr">
        <is>
          <t>EPA10</t>
        </is>
      </c>
      <c r="D173" t="n">
        <v>4</v>
      </c>
      <c r="E173" t="inlineStr">
        <is>
          <t>A013</t>
        </is>
      </c>
      <c r="F173" t="inlineStr">
        <is>
          <t>Nurse</t>
        </is>
      </c>
      <c r="G173" t="inlineStr">
        <is>
          <t>Sim</t>
        </is>
      </c>
      <c r="H173" t="inlineStr">
        <is>
          <t>CaseC</t>
        </is>
      </c>
      <c r="I173" s="3" t="inlineStr">
        <is>
          <t>Professional and patient-centered approach.</t>
        </is>
      </c>
      <c r="J173" s="3" t="inlineStr">
        <is>
          <t>Document key times and decisions more clearly.</t>
        </is>
      </c>
      <c r="K173" t="n">
        <v>0</v>
      </c>
    </row>
    <row r="174">
      <c r="A174" t="inlineStr">
        <is>
          <t>L008</t>
        </is>
      </c>
      <c r="B174" s="6" t="n">
        <v>45986</v>
      </c>
      <c r="C174" t="inlineStr">
        <is>
          <t>EPA10</t>
        </is>
      </c>
      <c r="D174" t="n">
        <v>5</v>
      </c>
      <c r="E174" t="inlineStr">
        <is>
          <t>A010</t>
        </is>
      </c>
      <c r="F174" t="inlineStr">
        <is>
          <t>Faculty</t>
        </is>
      </c>
      <c r="G174" t="inlineStr">
        <is>
          <t>ED</t>
        </is>
      </c>
      <c r="H174" t="inlineStr">
        <is>
          <t>CaseF</t>
        </is>
      </c>
      <c r="I174" s="3" t="inlineStr">
        <is>
          <t>Appropriate prioritization and plan articulation.</t>
        </is>
      </c>
      <c r="J174" s="3" t="inlineStr">
        <is>
          <t>Document key times and decisions more clearly.</t>
        </is>
      </c>
      <c r="K174" t="n">
        <v>0</v>
      </c>
    </row>
    <row r="175">
      <c r="A175" t="inlineStr">
        <is>
          <t>L018</t>
        </is>
      </c>
      <c r="B175" s="6" t="n">
        <v>45965</v>
      </c>
      <c r="C175" t="inlineStr">
        <is>
          <t>EPA01</t>
        </is>
      </c>
      <c r="D175" t="n">
        <v>5</v>
      </c>
      <c r="E175" t="inlineStr">
        <is>
          <t>A009</t>
        </is>
      </c>
      <c r="F175" t="inlineStr">
        <is>
          <t>AlliedHealth</t>
        </is>
      </c>
      <c r="G175" t="inlineStr">
        <is>
          <t>Ward</t>
        </is>
      </c>
      <c r="H175" t="inlineStr">
        <is>
          <t>CaseB</t>
        </is>
      </c>
      <c r="I175" s="3" t="inlineStr">
        <is>
          <t>Professional and patient-centered approach.</t>
        </is>
      </c>
      <c r="J175" s="3" t="inlineStr">
        <is>
          <t>Be more concise and state the plan earlier.</t>
        </is>
      </c>
      <c r="K175" t="n">
        <v>0</v>
      </c>
    </row>
    <row r="176">
      <c r="A176" t="inlineStr">
        <is>
          <t>L014</t>
        </is>
      </c>
      <c r="B176" s="6" t="n">
        <v>45927</v>
      </c>
      <c r="C176" t="inlineStr">
        <is>
          <t>EPA05</t>
        </is>
      </c>
      <c r="D176" t="n">
        <v>4</v>
      </c>
      <c r="E176" t="inlineStr">
        <is>
          <t>A014</t>
        </is>
      </c>
      <c r="F176" t="inlineStr">
        <is>
          <t>Faculty</t>
        </is>
      </c>
      <c r="G176" t="inlineStr">
        <is>
          <t>OPD</t>
        </is>
      </c>
      <c r="H176" t="inlineStr">
        <is>
          <t>CaseC</t>
        </is>
      </c>
      <c r="I176" s="3" t="inlineStr">
        <is>
          <t>Good clinical reasoning with key findings identified.</t>
        </is>
      </c>
      <c r="J176" s="3" t="inlineStr">
        <is>
          <t>Clarify escalation criteria and communicate proactively.</t>
        </is>
      </c>
      <c r="K176" t="n">
        <v>0</v>
      </c>
    </row>
    <row r="177">
      <c r="A177" t="inlineStr">
        <is>
          <t>L010</t>
        </is>
      </c>
      <c r="B177" s="6" t="n">
        <v>46060</v>
      </c>
      <c r="C177" t="inlineStr">
        <is>
          <t>EPA07</t>
        </is>
      </c>
      <c r="D177" t="n">
        <v>3</v>
      </c>
      <c r="E177" t="inlineStr">
        <is>
          <t>A005</t>
        </is>
      </c>
      <c r="F177" t="inlineStr">
        <is>
          <t>Faculty</t>
        </is>
      </c>
      <c r="G177" t="inlineStr">
        <is>
          <t>ICU</t>
        </is>
      </c>
      <c r="H177" t="inlineStr">
        <is>
          <t>CaseB</t>
        </is>
      </c>
      <c r="I177" s="3" t="inlineStr">
        <is>
          <t>Appropriate prioritization and plan articulation.</t>
        </is>
      </c>
      <c r="J177" s="3" t="inlineStr">
        <is>
          <t>Increase efficiency while maintaining safety checks.</t>
        </is>
      </c>
      <c r="K177" t="n">
        <v>0</v>
      </c>
    </row>
    <row r="178">
      <c r="A178" t="inlineStr">
        <is>
          <t>L011</t>
        </is>
      </c>
      <c r="B178" s="6" t="n">
        <v>45986</v>
      </c>
      <c r="C178" t="inlineStr">
        <is>
          <t>EPA09</t>
        </is>
      </c>
      <c r="D178" t="n">
        <v>4</v>
      </c>
      <c r="E178" t="inlineStr">
        <is>
          <t>A002</t>
        </is>
      </c>
      <c r="F178" t="inlineStr">
        <is>
          <t>Faculty</t>
        </is>
      </c>
      <c r="G178" t="inlineStr">
        <is>
          <t>Ward</t>
        </is>
      </c>
      <c r="H178" t="inlineStr">
        <is>
          <t>CaseB</t>
        </is>
      </c>
      <c r="I178" s="3" t="inlineStr">
        <is>
          <t>Clear structure and communication.</t>
        </is>
      </c>
      <c r="J178" s="3" t="inlineStr">
        <is>
          <t>Be more concise and state the plan earlier.</t>
        </is>
      </c>
      <c r="K178" t="n">
        <v>0</v>
      </c>
    </row>
    <row r="179">
      <c r="A179" t="inlineStr">
        <is>
          <t>L025</t>
        </is>
      </c>
      <c r="B179" s="6" t="n">
        <v>46027</v>
      </c>
      <c r="C179" t="inlineStr">
        <is>
          <t>EPA08</t>
        </is>
      </c>
      <c r="D179" t="n">
        <v>4</v>
      </c>
      <c r="E179" t="inlineStr">
        <is>
          <t>A002</t>
        </is>
      </c>
      <c r="F179" t="inlineStr">
        <is>
          <t>Faculty</t>
        </is>
      </c>
      <c r="G179" t="inlineStr">
        <is>
          <t>OPD</t>
        </is>
      </c>
      <c r="H179" t="inlineStr">
        <is>
          <t>CaseB</t>
        </is>
      </c>
      <c r="I179" s="3" t="inlineStr">
        <is>
          <t>Good clinical reasoning with key findings identified.</t>
        </is>
      </c>
      <c r="J179" s="3" t="inlineStr">
        <is>
          <t>Document key times and decisions more clearly.</t>
        </is>
      </c>
      <c r="K179" t="n">
        <v>0</v>
      </c>
    </row>
    <row r="180">
      <c r="A180" t="inlineStr">
        <is>
          <t>L012</t>
        </is>
      </c>
      <c r="B180" s="6" t="n">
        <v>46046</v>
      </c>
      <c r="C180" t="inlineStr">
        <is>
          <t>EPA10</t>
        </is>
      </c>
      <c r="D180" t="n">
        <v>5</v>
      </c>
      <c r="E180" t="inlineStr">
        <is>
          <t>A007</t>
        </is>
      </c>
      <c r="F180" t="inlineStr">
        <is>
          <t>Faculty</t>
        </is>
      </c>
      <c r="G180" t="inlineStr">
        <is>
          <t>Sim</t>
        </is>
      </c>
      <c r="H180" t="inlineStr">
        <is>
          <t>CaseA</t>
        </is>
      </c>
      <c r="I180" s="3" t="inlineStr">
        <is>
          <t>Appropriate prioritization and plan articulation.</t>
        </is>
      </c>
      <c r="J180" s="3" t="inlineStr">
        <is>
          <t>Broaden the differential diagnosis and justify choices.</t>
        </is>
      </c>
      <c r="K180" t="n">
        <v>0</v>
      </c>
    </row>
    <row r="181">
      <c r="A181" t="inlineStr">
        <is>
          <t>L010</t>
        </is>
      </c>
      <c r="B181" s="6" t="n">
        <v>45945</v>
      </c>
      <c r="C181" t="inlineStr">
        <is>
          <t>EPA12</t>
        </is>
      </c>
      <c r="D181" t="n">
        <v>4</v>
      </c>
      <c r="E181" t="inlineStr">
        <is>
          <t>A006</t>
        </is>
      </c>
      <c r="F181" t="inlineStr">
        <is>
          <t>Faculty</t>
        </is>
      </c>
      <c r="G181" t="inlineStr">
        <is>
          <t>ED</t>
        </is>
      </c>
      <c r="H181" t="inlineStr">
        <is>
          <t>CaseE</t>
        </is>
      </c>
      <c r="I181" s="3" t="inlineStr">
        <is>
          <t>Effective teamwork and closed-loop communication.</t>
        </is>
      </c>
      <c r="J181" s="3" t="inlineStr">
        <is>
          <t>Broaden the differential diagnosis and justify choices.</t>
        </is>
      </c>
      <c r="K181" t="n">
        <v>0</v>
      </c>
    </row>
    <row r="182">
      <c r="A182" t="inlineStr">
        <is>
          <t>L004</t>
        </is>
      </c>
      <c r="B182" s="6" t="n">
        <v>46045</v>
      </c>
      <c r="C182" t="inlineStr">
        <is>
          <t>EPA04</t>
        </is>
      </c>
      <c r="D182" t="n">
        <v>4</v>
      </c>
      <c r="E182" t="inlineStr">
        <is>
          <t>A012</t>
        </is>
      </c>
      <c r="F182" t="inlineStr">
        <is>
          <t>Faculty</t>
        </is>
      </c>
      <c r="G182" t="inlineStr">
        <is>
          <t>OR</t>
        </is>
      </c>
      <c r="H182" t="inlineStr">
        <is>
          <t>CaseF</t>
        </is>
      </c>
      <c r="I182" s="3" t="inlineStr">
        <is>
          <t>Good clinical reasoning with key findings identified.</t>
        </is>
      </c>
      <c r="J182" s="3" t="inlineStr">
        <is>
          <t>Be more concise and state the plan earlier.</t>
        </is>
      </c>
      <c r="K182" t="n">
        <v>1</v>
      </c>
    </row>
    <row r="183">
      <c r="A183" t="inlineStr">
        <is>
          <t>L009</t>
        </is>
      </c>
      <c r="B183" s="6" t="n">
        <v>46006</v>
      </c>
      <c r="C183" t="inlineStr">
        <is>
          <t>EPA01</t>
        </is>
      </c>
      <c r="D183" t="n">
        <v>3</v>
      </c>
      <c r="E183" t="inlineStr">
        <is>
          <t>A007</t>
        </is>
      </c>
      <c r="F183" t="inlineStr">
        <is>
          <t>Faculty</t>
        </is>
      </c>
      <c r="G183" t="inlineStr">
        <is>
          <t>OR</t>
        </is>
      </c>
      <c r="H183" t="inlineStr">
        <is>
          <t>CaseA</t>
        </is>
      </c>
      <c r="I183" s="3" t="inlineStr">
        <is>
          <t>Professional and patient-centered approach.</t>
        </is>
      </c>
      <c r="J183" s="3" t="inlineStr">
        <is>
          <t>Broaden the differential diagnosis and justify choices.</t>
        </is>
      </c>
      <c r="K183" t="n">
        <v>0</v>
      </c>
    </row>
    <row r="184">
      <c r="A184" t="inlineStr">
        <is>
          <t>L006</t>
        </is>
      </c>
      <c r="B184" s="6" t="n">
        <v>46065</v>
      </c>
      <c r="C184" t="inlineStr">
        <is>
          <t>EPA11</t>
        </is>
      </c>
      <c r="D184" t="n">
        <v>3</v>
      </c>
      <c r="E184" t="inlineStr">
        <is>
          <t>A003</t>
        </is>
      </c>
      <c r="F184" t="inlineStr">
        <is>
          <t>Faculty</t>
        </is>
      </c>
      <c r="G184" t="inlineStr">
        <is>
          <t>ED</t>
        </is>
      </c>
      <c r="H184" t="inlineStr">
        <is>
          <t>CaseD</t>
        </is>
      </c>
      <c r="I184" s="3" t="n"/>
      <c r="J184" s="3" t="n"/>
      <c r="K184" t="n">
        <v>0</v>
      </c>
    </row>
    <row r="185">
      <c r="A185" t="inlineStr">
        <is>
          <t>L014</t>
        </is>
      </c>
      <c r="B185" s="6" t="n">
        <v>45925</v>
      </c>
      <c r="C185" t="inlineStr">
        <is>
          <t>EPA01</t>
        </is>
      </c>
      <c r="D185" t="n">
        <v>3</v>
      </c>
      <c r="E185" t="inlineStr">
        <is>
          <t>A003</t>
        </is>
      </c>
      <c r="F185" t="inlineStr">
        <is>
          <t>Faculty</t>
        </is>
      </c>
      <c r="G185" t="inlineStr">
        <is>
          <t>OR</t>
        </is>
      </c>
      <c r="H185" t="inlineStr">
        <is>
          <t>CaseB</t>
        </is>
      </c>
      <c r="I185" s="3" t="inlineStr">
        <is>
          <t>Clear structure and communication.</t>
        </is>
      </c>
      <c r="J185" s="3" t="inlineStr">
        <is>
          <t>Document key times and decisions more clearly.</t>
        </is>
      </c>
      <c r="K185" t="n">
        <v>0</v>
      </c>
    </row>
    <row r="186">
      <c r="A186" t="inlineStr">
        <is>
          <t>L001</t>
        </is>
      </c>
      <c r="B186" s="6" t="n">
        <v>45922</v>
      </c>
      <c r="C186" t="inlineStr">
        <is>
          <t>EPA12</t>
        </is>
      </c>
      <c r="D186" t="n">
        <v>4</v>
      </c>
      <c r="E186" t="inlineStr">
        <is>
          <t>A007</t>
        </is>
      </c>
      <c r="F186" t="inlineStr">
        <is>
          <t>Faculty</t>
        </is>
      </c>
      <c r="G186" t="inlineStr">
        <is>
          <t>OPD</t>
        </is>
      </c>
      <c r="H186" t="inlineStr">
        <is>
          <t>CaseA</t>
        </is>
      </c>
      <c r="I186" s="3" t="inlineStr">
        <is>
          <t>Good clinical reasoning with key findings identified.</t>
        </is>
      </c>
      <c r="J186" s="3" t="inlineStr">
        <is>
          <t>Be more concise and state the plan earlier.</t>
        </is>
      </c>
      <c r="K186" t="n">
        <v>0</v>
      </c>
    </row>
    <row r="187">
      <c r="A187" t="inlineStr">
        <is>
          <t>L002</t>
        </is>
      </c>
      <c r="B187" s="6" t="n">
        <v>45922</v>
      </c>
      <c r="C187" t="inlineStr">
        <is>
          <t>EPA01</t>
        </is>
      </c>
      <c r="D187" t="n">
        <v>4</v>
      </c>
      <c r="E187" t="inlineStr">
        <is>
          <t>A006</t>
        </is>
      </c>
      <c r="F187" t="inlineStr">
        <is>
          <t>Faculty</t>
        </is>
      </c>
      <c r="G187" t="inlineStr">
        <is>
          <t>ICU</t>
        </is>
      </c>
      <c r="H187" t="inlineStr">
        <is>
          <t>CaseG</t>
        </is>
      </c>
      <c r="I187" s="3" t="inlineStr">
        <is>
          <t>Appropriate prioritization and plan articulation.</t>
        </is>
      </c>
      <c r="J187" s="3" t="n"/>
      <c r="K187" t="n">
        <v>0</v>
      </c>
    </row>
    <row r="188">
      <c r="A188" t="inlineStr">
        <is>
          <t>L001</t>
        </is>
      </c>
      <c r="B188" s="6" t="n">
        <v>46011</v>
      </c>
      <c r="C188" t="inlineStr">
        <is>
          <t>EPA04</t>
        </is>
      </c>
      <c r="D188" t="n">
        <v>5</v>
      </c>
      <c r="E188" t="inlineStr">
        <is>
          <t>A007</t>
        </is>
      </c>
      <c r="F188" t="inlineStr">
        <is>
          <t>Faculty</t>
        </is>
      </c>
      <c r="G188" t="inlineStr">
        <is>
          <t>ED</t>
        </is>
      </c>
      <c r="H188" t="inlineStr">
        <is>
          <t>CaseB</t>
        </is>
      </c>
      <c r="I188" s="3" t="inlineStr">
        <is>
          <t>Clear structure and communication.</t>
        </is>
      </c>
      <c r="J188" s="3" t="inlineStr">
        <is>
          <t>Increase efficiency while maintaining safety checks.</t>
        </is>
      </c>
      <c r="K188" t="n">
        <v>0</v>
      </c>
    </row>
    <row r="189">
      <c r="A189" t="inlineStr">
        <is>
          <t>L008</t>
        </is>
      </c>
      <c r="B189" s="6" t="n">
        <v>46027</v>
      </c>
      <c r="C189" t="inlineStr">
        <is>
          <t>EPA11</t>
        </is>
      </c>
      <c r="D189" t="n">
        <v>5</v>
      </c>
      <c r="E189" t="inlineStr">
        <is>
          <t>A002</t>
        </is>
      </c>
      <c r="F189" t="inlineStr">
        <is>
          <t>Faculty</t>
        </is>
      </c>
      <c r="G189" t="inlineStr">
        <is>
          <t>Ward</t>
        </is>
      </c>
      <c r="H189" t="inlineStr">
        <is>
          <t>CaseE</t>
        </is>
      </c>
      <c r="I189" s="3" t="inlineStr">
        <is>
          <t>Professional and patient-centered approach.</t>
        </is>
      </c>
      <c r="J189" s="3" t="n"/>
      <c r="K189" t="n">
        <v>0</v>
      </c>
    </row>
    <row r="190">
      <c r="A190" t="inlineStr">
        <is>
          <t>L009</t>
        </is>
      </c>
      <c r="B190" s="6" t="n">
        <v>45959</v>
      </c>
      <c r="C190" t="inlineStr">
        <is>
          <t>EPA11</t>
        </is>
      </c>
      <c r="D190" t="n">
        <v>5</v>
      </c>
      <c r="E190" t="inlineStr">
        <is>
          <t>A002</t>
        </is>
      </c>
      <c r="F190" t="inlineStr">
        <is>
          <t>Faculty</t>
        </is>
      </c>
      <c r="G190" t="inlineStr">
        <is>
          <t>OR</t>
        </is>
      </c>
      <c r="H190" t="inlineStr">
        <is>
          <t>CaseF</t>
        </is>
      </c>
      <c r="I190" s="3" t="n"/>
      <c r="J190" s="3" t="n"/>
      <c r="K190" t="n">
        <v>0</v>
      </c>
    </row>
    <row r="191">
      <c r="A191" t="inlineStr">
        <is>
          <t>L009</t>
        </is>
      </c>
      <c r="B191" s="6" t="n">
        <v>45897</v>
      </c>
      <c r="C191" t="inlineStr">
        <is>
          <t>EPA10</t>
        </is>
      </c>
      <c r="D191" t="n">
        <v>4</v>
      </c>
      <c r="E191" t="inlineStr">
        <is>
          <t>A007</t>
        </is>
      </c>
      <c r="F191" t="inlineStr">
        <is>
          <t>Faculty</t>
        </is>
      </c>
      <c r="G191" t="inlineStr">
        <is>
          <t>OPD</t>
        </is>
      </c>
      <c r="H191" t="inlineStr">
        <is>
          <t>CaseD</t>
        </is>
      </c>
      <c r="I191" s="3" t="inlineStr">
        <is>
          <t>Professional and patient-centered approach.</t>
        </is>
      </c>
      <c r="J191" s="3" t="inlineStr">
        <is>
          <t>Increase efficiency while maintaining safety checks.</t>
        </is>
      </c>
      <c r="K191" t="n">
        <v>0</v>
      </c>
    </row>
    <row r="192">
      <c r="A192" t="inlineStr">
        <is>
          <t>L025</t>
        </is>
      </c>
      <c r="B192" s="6" t="n">
        <v>46060</v>
      </c>
      <c r="C192" t="inlineStr">
        <is>
          <t>EPA11</t>
        </is>
      </c>
      <c r="D192" t="n">
        <v>4</v>
      </c>
      <c r="E192" t="inlineStr">
        <is>
          <t>A015</t>
        </is>
      </c>
      <c r="F192" t="inlineStr">
        <is>
          <t>Faculty</t>
        </is>
      </c>
      <c r="G192" t="inlineStr">
        <is>
          <t>OPD</t>
        </is>
      </c>
      <c r="H192" t="inlineStr">
        <is>
          <t>CaseC</t>
        </is>
      </c>
      <c r="I192" s="3" t="n"/>
      <c r="J192" s="3" t="n"/>
      <c r="K192" t="n">
        <v>0</v>
      </c>
    </row>
    <row r="193">
      <c r="A193" t="inlineStr">
        <is>
          <t>L019</t>
        </is>
      </c>
      <c r="B193" s="6" t="n">
        <v>46012</v>
      </c>
      <c r="C193" t="inlineStr">
        <is>
          <t>EPA09</t>
        </is>
      </c>
      <c r="D193" t="n">
        <v>4</v>
      </c>
      <c r="E193" t="inlineStr">
        <is>
          <t>A011</t>
        </is>
      </c>
      <c r="F193" t="inlineStr">
        <is>
          <t>Nurse</t>
        </is>
      </c>
      <c r="G193" t="inlineStr">
        <is>
          <t>OR</t>
        </is>
      </c>
      <c r="H193" t="inlineStr">
        <is>
          <t>CaseE</t>
        </is>
      </c>
      <c r="I193" s="3" t="inlineStr">
        <is>
          <t>Effective teamwork and closed-loop communication.</t>
        </is>
      </c>
      <c r="J193" s="3" t="n"/>
      <c r="K193" t="n">
        <v>0</v>
      </c>
    </row>
    <row r="194">
      <c r="A194" t="inlineStr">
        <is>
          <t>L012</t>
        </is>
      </c>
      <c r="B194" s="6" t="n">
        <v>45951</v>
      </c>
      <c r="C194" t="inlineStr">
        <is>
          <t>EPA12</t>
        </is>
      </c>
      <c r="D194" t="n">
        <v>4</v>
      </c>
      <c r="E194" t="inlineStr">
        <is>
          <t>A012</t>
        </is>
      </c>
      <c r="F194" t="inlineStr">
        <is>
          <t>Faculty</t>
        </is>
      </c>
      <c r="G194" t="inlineStr">
        <is>
          <t>ED</t>
        </is>
      </c>
      <c r="H194" t="inlineStr">
        <is>
          <t>CaseE</t>
        </is>
      </c>
      <c r="I194" s="3" t="inlineStr">
        <is>
          <t>Clear structure and communication.</t>
        </is>
      </c>
      <c r="J194" s="3" t="inlineStr">
        <is>
          <t>Be more concise and state the plan earlier.</t>
        </is>
      </c>
      <c r="K194" t="n">
        <v>0</v>
      </c>
    </row>
    <row r="195">
      <c r="A195" t="inlineStr">
        <is>
          <t>L025</t>
        </is>
      </c>
      <c r="B195" s="6" t="n">
        <v>46007</v>
      </c>
      <c r="C195" t="inlineStr">
        <is>
          <t>EPA10</t>
        </is>
      </c>
      <c r="D195" t="n">
        <v>5</v>
      </c>
      <c r="E195" t="inlineStr">
        <is>
          <t>A014</t>
        </is>
      </c>
      <c r="F195" t="inlineStr">
        <is>
          <t>Faculty</t>
        </is>
      </c>
      <c r="G195" t="inlineStr">
        <is>
          <t>ICU</t>
        </is>
      </c>
      <c r="H195" t="inlineStr">
        <is>
          <t>CaseF</t>
        </is>
      </c>
      <c r="I195" s="3" t="inlineStr">
        <is>
          <t>Appropriate prioritization and plan articulation.</t>
        </is>
      </c>
      <c r="J195" s="3" t="inlineStr">
        <is>
          <t>Broaden the differential diagnosis and justify choices.</t>
        </is>
      </c>
      <c r="K195" t="n">
        <v>0</v>
      </c>
    </row>
    <row r="196">
      <c r="A196" t="inlineStr">
        <is>
          <t>L020</t>
        </is>
      </c>
      <c r="B196" s="6" t="n">
        <v>45936</v>
      </c>
      <c r="C196" t="inlineStr">
        <is>
          <t>EPA06</t>
        </is>
      </c>
      <c r="D196" t="n">
        <v>2</v>
      </c>
      <c r="E196" t="inlineStr">
        <is>
          <t>A014</t>
        </is>
      </c>
      <c r="F196" t="inlineStr">
        <is>
          <t>Faculty</t>
        </is>
      </c>
      <c r="G196" t="inlineStr">
        <is>
          <t>Ward</t>
        </is>
      </c>
      <c r="H196" t="inlineStr">
        <is>
          <t>CaseE</t>
        </is>
      </c>
      <c r="I196" s="3" t="n"/>
      <c r="J196" s="3" t="n"/>
      <c r="K196" t="n">
        <v>0</v>
      </c>
    </row>
    <row r="197">
      <c r="A197" t="inlineStr">
        <is>
          <t>L009</t>
        </is>
      </c>
      <c r="B197" s="6" t="n">
        <v>45992</v>
      </c>
      <c r="C197" t="inlineStr">
        <is>
          <t>EPA03</t>
        </is>
      </c>
      <c r="D197" t="n">
        <v>4</v>
      </c>
      <c r="E197" t="inlineStr">
        <is>
          <t>A011</t>
        </is>
      </c>
      <c r="F197" t="inlineStr">
        <is>
          <t>Nurse</t>
        </is>
      </c>
      <c r="G197" t="inlineStr">
        <is>
          <t>Ward</t>
        </is>
      </c>
      <c r="H197" t="inlineStr">
        <is>
          <t>CaseB</t>
        </is>
      </c>
      <c r="I197" s="3" t="inlineStr">
        <is>
          <t>Effective teamwork and closed-loop communication.</t>
        </is>
      </c>
      <c r="J197" s="3" t="inlineStr">
        <is>
          <t>Increase efficiency while maintaining safety checks.</t>
        </is>
      </c>
      <c r="K197" t="n">
        <v>0</v>
      </c>
    </row>
    <row r="198">
      <c r="A198" t="inlineStr">
        <is>
          <t>L018</t>
        </is>
      </c>
      <c r="B198" s="6" t="n">
        <v>46022</v>
      </c>
      <c r="C198" t="inlineStr">
        <is>
          <t>EPA03</t>
        </is>
      </c>
      <c r="D198" t="n">
        <v>4</v>
      </c>
      <c r="E198" t="inlineStr">
        <is>
          <t>A004</t>
        </is>
      </c>
      <c r="F198" t="inlineStr">
        <is>
          <t>Faculty</t>
        </is>
      </c>
      <c r="G198" t="inlineStr">
        <is>
          <t>OR</t>
        </is>
      </c>
      <c r="H198" t="inlineStr">
        <is>
          <t>CaseB</t>
        </is>
      </c>
      <c r="I198" s="3" t="inlineStr">
        <is>
          <t>Clear structure and communication.</t>
        </is>
      </c>
      <c r="J198" s="3" t="inlineStr">
        <is>
          <t>Be more concise and state the plan earlier.</t>
        </is>
      </c>
      <c r="K198" t="n">
        <v>0</v>
      </c>
    </row>
    <row r="199">
      <c r="A199" t="inlineStr">
        <is>
          <t>L012</t>
        </is>
      </c>
      <c r="B199" s="6" t="n">
        <v>45967</v>
      </c>
      <c r="C199" t="inlineStr">
        <is>
          <t>EPA11</t>
        </is>
      </c>
      <c r="D199" t="n">
        <v>3</v>
      </c>
      <c r="E199" t="inlineStr">
        <is>
          <t>A006</t>
        </is>
      </c>
      <c r="F199" t="inlineStr">
        <is>
          <t>Faculty</t>
        </is>
      </c>
      <c r="G199" t="inlineStr">
        <is>
          <t>ICU</t>
        </is>
      </c>
      <c r="H199" t="inlineStr">
        <is>
          <t>CaseB</t>
        </is>
      </c>
      <c r="I199" s="3" t="n"/>
      <c r="J199" s="3" t="n"/>
      <c r="K199" t="n">
        <v>0</v>
      </c>
    </row>
    <row r="200">
      <c r="A200" t="inlineStr">
        <is>
          <t>L012</t>
        </is>
      </c>
      <c r="B200" s="6" t="n">
        <v>46062</v>
      </c>
      <c r="C200" t="inlineStr">
        <is>
          <t>EPA02</t>
        </is>
      </c>
      <c r="D200" t="n">
        <v>4</v>
      </c>
      <c r="E200" t="inlineStr">
        <is>
          <t>A011</t>
        </is>
      </c>
      <c r="F200" t="inlineStr">
        <is>
          <t>Nurse</t>
        </is>
      </c>
      <c r="G200" t="inlineStr">
        <is>
          <t>ICU</t>
        </is>
      </c>
      <c r="H200" t="inlineStr">
        <is>
          <t>CaseE</t>
        </is>
      </c>
      <c r="I200" s="3" t="n"/>
      <c r="J200" s="3" t="n"/>
      <c r="K200" t="n">
        <v>0</v>
      </c>
    </row>
    <row r="201">
      <c r="A201" t="inlineStr">
        <is>
          <t>L007</t>
        </is>
      </c>
      <c r="B201" s="6" t="n">
        <v>45906</v>
      </c>
      <c r="C201" t="inlineStr">
        <is>
          <t>EPA11</t>
        </is>
      </c>
      <c r="D201" t="n">
        <v>4</v>
      </c>
      <c r="E201" t="inlineStr">
        <is>
          <t>A010</t>
        </is>
      </c>
      <c r="F201" t="inlineStr">
        <is>
          <t>Faculty</t>
        </is>
      </c>
      <c r="G201" t="inlineStr">
        <is>
          <t>Sim</t>
        </is>
      </c>
      <c r="H201" t="inlineStr">
        <is>
          <t>CaseC</t>
        </is>
      </c>
      <c r="I201" s="3" t="inlineStr">
        <is>
          <t>Professional and patient-centered approach.</t>
        </is>
      </c>
      <c r="J201" s="3" t="inlineStr">
        <is>
          <t>Broaden the differential diagnosis and justify choices.</t>
        </is>
      </c>
      <c r="K201" t="n">
        <v>0</v>
      </c>
    </row>
    <row r="202">
      <c r="A202" t="inlineStr">
        <is>
          <t>L012</t>
        </is>
      </c>
      <c r="B202" s="6" t="n">
        <v>46038</v>
      </c>
      <c r="C202" t="inlineStr">
        <is>
          <t>EPA10</t>
        </is>
      </c>
      <c r="D202" t="n">
        <v>4</v>
      </c>
      <c r="E202" t="inlineStr">
        <is>
          <t>A009</t>
        </is>
      </c>
      <c r="F202" t="inlineStr">
        <is>
          <t>AlliedHealth</t>
        </is>
      </c>
      <c r="G202" t="inlineStr">
        <is>
          <t>ICU</t>
        </is>
      </c>
      <c r="H202" t="inlineStr">
        <is>
          <t>CaseB</t>
        </is>
      </c>
      <c r="I202" s="3" t="n"/>
      <c r="J202" s="3" t="n"/>
      <c r="K202" t="n">
        <v>0</v>
      </c>
    </row>
    <row r="203">
      <c r="A203" t="inlineStr">
        <is>
          <t>L016</t>
        </is>
      </c>
      <c r="B203" s="6" t="n">
        <v>46070</v>
      </c>
      <c r="C203" t="inlineStr">
        <is>
          <t>EPA09</t>
        </is>
      </c>
      <c r="D203" t="n">
        <v>5</v>
      </c>
      <c r="E203" t="inlineStr">
        <is>
          <t>A013</t>
        </is>
      </c>
      <c r="F203" t="inlineStr">
        <is>
          <t>Nurse</t>
        </is>
      </c>
      <c r="G203" t="inlineStr">
        <is>
          <t>OPD</t>
        </is>
      </c>
      <c r="H203" t="inlineStr">
        <is>
          <t>CaseB</t>
        </is>
      </c>
      <c r="I203" s="3" t="n"/>
      <c r="J203" s="3" t="n"/>
      <c r="K203" t="n">
        <v>0</v>
      </c>
    </row>
    <row r="204">
      <c r="A204" t="inlineStr">
        <is>
          <t>L019</t>
        </is>
      </c>
      <c r="B204" s="6" t="n">
        <v>46033</v>
      </c>
      <c r="C204" t="inlineStr">
        <is>
          <t>EPA03</t>
        </is>
      </c>
      <c r="D204" t="n">
        <v>4</v>
      </c>
      <c r="E204" t="inlineStr">
        <is>
          <t>A008</t>
        </is>
      </c>
      <c r="F204" t="inlineStr">
        <is>
          <t>AlliedHealth</t>
        </is>
      </c>
      <c r="G204" t="inlineStr">
        <is>
          <t>ICU</t>
        </is>
      </c>
      <c r="H204" t="inlineStr">
        <is>
          <t>CaseG</t>
        </is>
      </c>
      <c r="I204" s="3" t="inlineStr">
        <is>
          <t>Clear structure and communication.</t>
        </is>
      </c>
      <c r="J204" s="3" t="n"/>
      <c r="K204" t="n">
        <v>0</v>
      </c>
    </row>
    <row r="205">
      <c r="A205" t="inlineStr">
        <is>
          <t>L003</t>
        </is>
      </c>
      <c r="B205" s="6" t="n">
        <v>46064</v>
      </c>
      <c r="C205" t="inlineStr">
        <is>
          <t>EPA08</t>
        </is>
      </c>
      <c r="D205" t="n">
        <v>2</v>
      </c>
      <c r="E205" t="inlineStr">
        <is>
          <t>A003</t>
        </is>
      </c>
      <c r="F205" t="inlineStr">
        <is>
          <t>Faculty</t>
        </is>
      </c>
      <c r="G205" t="inlineStr">
        <is>
          <t>OR</t>
        </is>
      </c>
      <c r="H205" t="inlineStr">
        <is>
          <t>CaseE</t>
        </is>
      </c>
      <c r="I205" s="3" t="n"/>
      <c r="J205" s="3" t="n"/>
      <c r="K205" t="n">
        <v>0</v>
      </c>
    </row>
    <row r="206">
      <c r="A206" t="inlineStr">
        <is>
          <t>L025</t>
        </is>
      </c>
      <c r="B206" s="6" t="n">
        <v>45933</v>
      </c>
      <c r="C206" t="inlineStr">
        <is>
          <t>EPA12</t>
        </is>
      </c>
      <c r="D206" t="n">
        <v>4</v>
      </c>
      <c r="E206" t="inlineStr">
        <is>
          <t>A015</t>
        </is>
      </c>
      <c r="F206" t="inlineStr">
        <is>
          <t>Faculty</t>
        </is>
      </c>
      <c r="G206" t="inlineStr">
        <is>
          <t>ICU</t>
        </is>
      </c>
      <c r="H206" t="inlineStr">
        <is>
          <t>CaseG</t>
        </is>
      </c>
      <c r="I206" s="3" t="inlineStr">
        <is>
          <t>Professional and patient-centered approach.</t>
        </is>
      </c>
      <c r="J206" s="3" t="inlineStr">
        <is>
          <t>Broaden the differential diagnosis and justify choices.</t>
        </is>
      </c>
      <c r="K206" t="n">
        <v>0</v>
      </c>
    </row>
    <row r="207">
      <c r="A207" t="inlineStr">
        <is>
          <t>L017</t>
        </is>
      </c>
      <c r="B207" s="6" t="n">
        <v>46074</v>
      </c>
      <c r="C207" t="inlineStr">
        <is>
          <t>EPA09</t>
        </is>
      </c>
      <c r="D207" t="n">
        <v>3</v>
      </c>
      <c r="E207" t="inlineStr">
        <is>
          <t>A011</t>
        </is>
      </c>
      <c r="F207" t="inlineStr">
        <is>
          <t>Nurse</t>
        </is>
      </c>
      <c r="G207" t="inlineStr">
        <is>
          <t>OPD</t>
        </is>
      </c>
      <c r="H207" t="inlineStr">
        <is>
          <t>CaseC</t>
        </is>
      </c>
      <c r="I207" s="3" t="n"/>
      <c r="J207" s="3" t="n"/>
      <c r="K207" t="n">
        <v>0</v>
      </c>
    </row>
    <row r="208">
      <c r="A208" t="inlineStr">
        <is>
          <t>L008</t>
        </is>
      </c>
      <c r="B208" s="6" t="n">
        <v>45996</v>
      </c>
      <c r="C208" t="inlineStr">
        <is>
          <t>EPA08</t>
        </is>
      </c>
      <c r="D208" t="n">
        <v>4</v>
      </c>
      <c r="E208" t="inlineStr">
        <is>
          <t>A005</t>
        </is>
      </c>
      <c r="F208" t="inlineStr">
        <is>
          <t>Faculty</t>
        </is>
      </c>
      <c r="G208" t="inlineStr">
        <is>
          <t>OPD</t>
        </is>
      </c>
      <c r="H208" t="inlineStr">
        <is>
          <t>CaseE</t>
        </is>
      </c>
      <c r="I208" s="3" t="inlineStr">
        <is>
          <t>Good clinical reasoning with key findings identified.</t>
        </is>
      </c>
      <c r="J208" s="3" t="inlineStr">
        <is>
          <t>Increase efficiency while maintaining safety checks.</t>
        </is>
      </c>
      <c r="K208" t="n">
        <v>0</v>
      </c>
    </row>
    <row r="209">
      <c r="A209" t="inlineStr">
        <is>
          <t>L024</t>
        </is>
      </c>
      <c r="B209" s="6" t="n">
        <v>45920</v>
      </c>
      <c r="C209" t="inlineStr">
        <is>
          <t>EPA12</t>
        </is>
      </c>
      <c r="D209" t="n">
        <v>3</v>
      </c>
      <c r="E209" t="inlineStr">
        <is>
          <t>A005</t>
        </is>
      </c>
      <c r="F209" t="inlineStr">
        <is>
          <t>Faculty</t>
        </is>
      </c>
      <c r="G209" t="inlineStr">
        <is>
          <t>OPD</t>
        </is>
      </c>
      <c r="H209" t="inlineStr">
        <is>
          <t>CaseF</t>
        </is>
      </c>
      <c r="I209" s="3" t="inlineStr">
        <is>
          <t>Appropriate prioritization and plan articulation.</t>
        </is>
      </c>
      <c r="J209" s="3" t="inlineStr">
        <is>
          <t>Broaden the differential diagnosis and justify choices.</t>
        </is>
      </c>
      <c r="K209" t="n">
        <v>0</v>
      </c>
    </row>
    <row r="210">
      <c r="A210" t="inlineStr">
        <is>
          <t>L012</t>
        </is>
      </c>
      <c r="B210" s="6" t="n">
        <v>45922</v>
      </c>
      <c r="C210" t="inlineStr">
        <is>
          <t>EPA04</t>
        </is>
      </c>
      <c r="D210" t="n">
        <v>5</v>
      </c>
      <c r="E210" t="inlineStr">
        <is>
          <t>A012</t>
        </is>
      </c>
      <c r="F210" t="inlineStr">
        <is>
          <t>Faculty</t>
        </is>
      </c>
      <c r="G210" t="inlineStr">
        <is>
          <t>Sim</t>
        </is>
      </c>
      <c r="H210" t="inlineStr">
        <is>
          <t>CaseA</t>
        </is>
      </c>
      <c r="I210" s="3" t="n"/>
      <c r="J210" s="3" t="n"/>
      <c r="K210" t="n">
        <v>0</v>
      </c>
    </row>
    <row r="211">
      <c r="A211" t="inlineStr">
        <is>
          <t>L019</t>
        </is>
      </c>
      <c r="B211" s="6" t="n">
        <v>46016</v>
      </c>
      <c r="C211" t="inlineStr">
        <is>
          <t>EPA12</t>
        </is>
      </c>
      <c r="D211" t="n">
        <v>4</v>
      </c>
      <c r="E211" t="inlineStr">
        <is>
          <t>A006</t>
        </is>
      </c>
      <c r="F211" t="inlineStr">
        <is>
          <t>Faculty</t>
        </is>
      </c>
      <c r="G211" t="inlineStr">
        <is>
          <t>ED</t>
        </is>
      </c>
      <c r="H211" t="inlineStr">
        <is>
          <t>CaseE</t>
        </is>
      </c>
      <c r="I211" s="3" t="inlineStr">
        <is>
          <t>Clear structure and communication.</t>
        </is>
      </c>
      <c r="J211" s="3" t="inlineStr">
        <is>
          <t>Increase efficiency while maintaining safety checks.</t>
        </is>
      </c>
      <c r="K211" t="n">
        <v>1</v>
      </c>
    </row>
    <row r="212">
      <c r="A212" t="inlineStr">
        <is>
          <t>L007</t>
        </is>
      </c>
      <c r="B212" s="6" t="n">
        <v>45982</v>
      </c>
      <c r="C212" t="inlineStr">
        <is>
          <t>EPA04</t>
        </is>
      </c>
      <c r="D212" t="n">
        <v>3</v>
      </c>
      <c r="E212" t="inlineStr">
        <is>
          <t>A013</t>
        </is>
      </c>
      <c r="F212" t="inlineStr">
        <is>
          <t>Nurse</t>
        </is>
      </c>
      <c r="G212" t="inlineStr">
        <is>
          <t>OR</t>
        </is>
      </c>
      <c r="H212" t="inlineStr">
        <is>
          <t>CaseD</t>
        </is>
      </c>
      <c r="I212" s="3" t="inlineStr">
        <is>
          <t>Clear structure and communication.</t>
        </is>
      </c>
      <c r="J212" s="3" t="n"/>
      <c r="K212" t="n">
        <v>0</v>
      </c>
    </row>
    <row r="213">
      <c r="A213" t="inlineStr">
        <is>
          <t>L012</t>
        </is>
      </c>
      <c r="B213" s="6" t="n">
        <v>46066</v>
      </c>
      <c r="C213" t="inlineStr">
        <is>
          <t>EPA09</t>
        </is>
      </c>
      <c r="D213" t="n">
        <v>3</v>
      </c>
      <c r="E213" t="inlineStr">
        <is>
          <t>A015</t>
        </is>
      </c>
      <c r="F213" t="inlineStr">
        <is>
          <t>Faculty</t>
        </is>
      </c>
      <c r="G213" t="inlineStr">
        <is>
          <t>ED</t>
        </is>
      </c>
      <c r="H213" t="inlineStr">
        <is>
          <t>CaseF</t>
        </is>
      </c>
      <c r="I213" s="3" t="n"/>
      <c r="J213" s="3" t="n"/>
      <c r="K213" t="n">
        <v>0</v>
      </c>
    </row>
    <row r="214">
      <c r="A214" t="inlineStr">
        <is>
          <t>L007</t>
        </is>
      </c>
      <c r="B214" s="6" t="n">
        <v>45998</v>
      </c>
      <c r="C214" t="inlineStr">
        <is>
          <t>EPA05</t>
        </is>
      </c>
      <c r="D214" t="n">
        <v>4</v>
      </c>
      <c r="E214" t="inlineStr">
        <is>
          <t>A008</t>
        </is>
      </c>
      <c r="F214" t="inlineStr">
        <is>
          <t>AlliedHealth</t>
        </is>
      </c>
      <c r="G214" t="inlineStr">
        <is>
          <t>Ward</t>
        </is>
      </c>
      <c r="H214" t="inlineStr">
        <is>
          <t>CaseD</t>
        </is>
      </c>
      <c r="I214" s="3" t="n"/>
      <c r="J214" s="3" t="n"/>
      <c r="K214" t="n">
        <v>0</v>
      </c>
    </row>
    <row r="215">
      <c r="A215" t="inlineStr">
        <is>
          <t>L011</t>
        </is>
      </c>
      <c r="B215" s="6" t="n">
        <v>45901</v>
      </c>
      <c r="C215" t="inlineStr">
        <is>
          <t>EPA05</t>
        </is>
      </c>
      <c r="D215" t="n">
        <v>3</v>
      </c>
      <c r="E215" t="inlineStr">
        <is>
          <t>A005</t>
        </is>
      </c>
      <c r="F215" t="inlineStr">
        <is>
          <t>Faculty</t>
        </is>
      </c>
      <c r="G215" t="inlineStr">
        <is>
          <t>Sim</t>
        </is>
      </c>
      <c r="H215" t="inlineStr">
        <is>
          <t>CaseG</t>
        </is>
      </c>
      <c r="I215" s="3" t="n"/>
      <c r="J215" s="3" t="n"/>
      <c r="K215" t="n">
        <v>0</v>
      </c>
    </row>
    <row r="216">
      <c r="A216" t="inlineStr">
        <is>
          <t>L002</t>
        </is>
      </c>
      <c r="B216" s="6" t="n">
        <v>45919</v>
      </c>
      <c r="C216" t="inlineStr">
        <is>
          <t>EPA05</t>
        </is>
      </c>
      <c r="D216" t="n">
        <v>3</v>
      </c>
      <c r="E216" t="inlineStr">
        <is>
          <t>A013</t>
        </is>
      </c>
      <c r="F216" t="inlineStr">
        <is>
          <t>Nurse</t>
        </is>
      </c>
      <c r="G216" t="inlineStr">
        <is>
          <t>ED</t>
        </is>
      </c>
      <c r="H216" t="inlineStr">
        <is>
          <t>CaseF</t>
        </is>
      </c>
      <c r="I216" s="3" t="inlineStr">
        <is>
          <t>Professional and patient-centered approach.</t>
        </is>
      </c>
      <c r="J216" s="3" t="inlineStr">
        <is>
          <t>Be more concise and state the plan earlier.</t>
        </is>
      </c>
      <c r="K216" t="n">
        <v>0</v>
      </c>
    </row>
    <row r="217">
      <c r="A217" t="inlineStr">
        <is>
          <t>L007</t>
        </is>
      </c>
      <c r="B217" s="6" t="n">
        <v>45923</v>
      </c>
      <c r="C217" t="inlineStr">
        <is>
          <t>EPA10</t>
        </is>
      </c>
      <c r="D217" t="n">
        <v>4</v>
      </c>
      <c r="E217" t="inlineStr">
        <is>
          <t>A002</t>
        </is>
      </c>
      <c r="F217" t="inlineStr">
        <is>
          <t>Faculty</t>
        </is>
      </c>
      <c r="G217" t="inlineStr">
        <is>
          <t>ICU</t>
        </is>
      </c>
      <c r="H217" t="inlineStr">
        <is>
          <t>CaseB</t>
        </is>
      </c>
      <c r="I217" s="3" t="inlineStr">
        <is>
          <t>Appropriate prioritization and plan articulation.</t>
        </is>
      </c>
      <c r="J217" s="3" t="inlineStr">
        <is>
          <t>Clarify escalation criteria and communicate proactively.</t>
        </is>
      </c>
      <c r="K217" t="n">
        <v>0</v>
      </c>
    </row>
    <row r="218">
      <c r="A218" t="inlineStr">
        <is>
          <t>L006</t>
        </is>
      </c>
      <c r="B218" s="6" t="n">
        <v>45931</v>
      </c>
      <c r="C218" t="inlineStr">
        <is>
          <t>EPA07</t>
        </is>
      </c>
      <c r="D218" t="n">
        <v>2</v>
      </c>
      <c r="E218" t="inlineStr">
        <is>
          <t>A004</t>
        </is>
      </c>
      <c r="F218" t="inlineStr">
        <is>
          <t>Faculty</t>
        </is>
      </c>
      <c r="G218" t="inlineStr">
        <is>
          <t>ED</t>
        </is>
      </c>
      <c r="H218" t="inlineStr">
        <is>
          <t>CaseC</t>
        </is>
      </c>
      <c r="I218" s="3" t="inlineStr">
        <is>
          <t>Good clinical reasoning with key findings identified.</t>
        </is>
      </c>
      <c r="J218" s="3" t="inlineStr">
        <is>
          <t>Be more concise and state the plan earlier.</t>
        </is>
      </c>
      <c r="K218" t="n">
        <v>0</v>
      </c>
    </row>
    <row r="219">
      <c r="A219" t="inlineStr">
        <is>
          <t>L021</t>
        </is>
      </c>
      <c r="B219" s="6" t="n">
        <v>46046</v>
      </c>
      <c r="C219" t="inlineStr">
        <is>
          <t>EPA11</t>
        </is>
      </c>
      <c r="D219" t="n">
        <v>4</v>
      </c>
      <c r="E219" t="inlineStr">
        <is>
          <t>A012</t>
        </is>
      </c>
      <c r="F219" t="inlineStr">
        <is>
          <t>Faculty</t>
        </is>
      </c>
      <c r="G219" t="inlineStr">
        <is>
          <t>Sim</t>
        </is>
      </c>
      <c r="H219" t="inlineStr">
        <is>
          <t>CaseF</t>
        </is>
      </c>
      <c r="I219" s="3" t="inlineStr">
        <is>
          <t>Effective teamwork and closed-loop communication.</t>
        </is>
      </c>
      <c r="J219" s="3" t="inlineStr">
        <is>
          <t>Clarify escalation criteria and communicate proactively.</t>
        </is>
      </c>
      <c r="K219" t="n">
        <v>0</v>
      </c>
    </row>
    <row r="220">
      <c r="A220" t="inlineStr">
        <is>
          <t>L025</t>
        </is>
      </c>
      <c r="B220" s="6" t="n">
        <v>45998</v>
      </c>
      <c r="C220" t="inlineStr">
        <is>
          <t>EPA09</t>
        </is>
      </c>
      <c r="D220" t="n">
        <v>4</v>
      </c>
      <c r="E220" t="inlineStr">
        <is>
          <t>A015</t>
        </is>
      </c>
      <c r="F220" t="inlineStr">
        <is>
          <t>Faculty</t>
        </is>
      </c>
      <c r="G220" t="inlineStr">
        <is>
          <t>OPD</t>
        </is>
      </c>
      <c r="H220" t="inlineStr">
        <is>
          <t>CaseE</t>
        </is>
      </c>
      <c r="I220" s="3" t="n"/>
      <c r="J220" s="3" t="n"/>
      <c r="K220" t="n">
        <v>0</v>
      </c>
    </row>
    <row r="221">
      <c r="A221" t="inlineStr">
        <is>
          <t>L025</t>
        </is>
      </c>
      <c r="B221" s="6" t="n">
        <v>45938</v>
      </c>
      <c r="C221" t="inlineStr">
        <is>
          <t>EPA01</t>
        </is>
      </c>
      <c r="D221" t="n">
        <v>4</v>
      </c>
      <c r="E221" t="inlineStr">
        <is>
          <t>A008</t>
        </is>
      </c>
      <c r="F221" t="inlineStr">
        <is>
          <t>AlliedHealth</t>
        </is>
      </c>
      <c r="G221" t="inlineStr">
        <is>
          <t>Ward</t>
        </is>
      </c>
      <c r="H221" t="inlineStr">
        <is>
          <t>CaseF</t>
        </is>
      </c>
      <c r="I221" s="3" t="inlineStr">
        <is>
          <t>Clear structure and communication.</t>
        </is>
      </c>
      <c r="J221" s="3" t="inlineStr">
        <is>
          <t>Broaden the differential diagnosis and justify choices.</t>
        </is>
      </c>
      <c r="K221" t="n">
        <v>0</v>
      </c>
    </row>
    <row r="222">
      <c r="A222" t="inlineStr">
        <is>
          <t>L012</t>
        </is>
      </c>
      <c r="B222" s="6" t="n">
        <v>45899</v>
      </c>
      <c r="C222" t="inlineStr">
        <is>
          <t>EPA03</t>
        </is>
      </c>
      <c r="D222" t="n">
        <v>4</v>
      </c>
      <c r="E222" t="inlineStr">
        <is>
          <t>A001</t>
        </is>
      </c>
      <c r="F222" t="inlineStr">
        <is>
          <t>Faculty</t>
        </is>
      </c>
      <c r="G222" t="inlineStr">
        <is>
          <t>ICU</t>
        </is>
      </c>
      <c r="H222" t="inlineStr">
        <is>
          <t>CaseD</t>
        </is>
      </c>
      <c r="I222" s="3" t="n"/>
      <c r="J222" s="3" t="n"/>
      <c r="K222" t="n">
        <v>0</v>
      </c>
    </row>
    <row r="223">
      <c r="A223" t="inlineStr">
        <is>
          <t>L010</t>
        </is>
      </c>
      <c r="B223" s="6" t="n">
        <v>45990</v>
      </c>
      <c r="C223" t="inlineStr">
        <is>
          <t>EPA10</t>
        </is>
      </c>
      <c r="D223" t="n">
        <v>5</v>
      </c>
      <c r="E223" t="inlineStr">
        <is>
          <t>A008</t>
        </is>
      </c>
      <c r="F223" t="inlineStr">
        <is>
          <t>AlliedHealth</t>
        </is>
      </c>
      <c r="G223" t="inlineStr">
        <is>
          <t>Sim</t>
        </is>
      </c>
      <c r="H223" t="inlineStr">
        <is>
          <t>CaseA</t>
        </is>
      </c>
      <c r="I223" s="3" t="inlineStr">
        <is>
          <t>Appropriate prioritization and plan articulation.</t>
        </is>
      </c>
      <c r="J223" s="3" t="inlineStr">
        <is>
          <t>Be more concise and state the plan earlier.</t>
        </is>
      </c>
      <c r="K223" t="n">
        <v>0</v>
      </c>
    </row>
    <row r="224">
      <c r="A224" t="inlineStr">
        <is>
          <t>L003</t>
        </is>
      </c>
      <c r="B224" s="6" t="n">
        <v>45966</v>
      </c>
      <c r="C224" t="inlineStr">
        <is>
          <t>EPA12</t>
        </is>
      </c>
      <c r="D224" t="n">
        <v>3</v>
      </c>
      <c r="E224" t="inlineStr">
        <is>
          <t>A009</t>
        </is>
      </c>
      <c r="F224" t="inlineStr">
        <is>
          <t>AlliedHealth</t>
        </is>
      </c>
      <c r="G224" t="inlineStr">
        <is>
          <t>ICU</t>
        </is>
      </c>
      <c r="H224" t="inlineStr">
        <is>
          <t>CaseE</t>
        </is>
      </c>
      <c r="I224" s="3" t="inlineStr">
        <is>
          <t>Good clinical reasoning with key findings identified.</t>
        </is>
      </c>
      <c r="J224" s="3" t="inlineStr">
        <is>
          <t>Document key times and decisions more clearly.</t>
        </is>
      </c>
      <c r="K224" t="n">
        <v>0</v>
      </c>
    </row>
    <row r="225">
      <c r="A225" t="inlineStr">
        <is>
          <t>L024</t>
        </is>
      </c>
      <c r="B225" s="6" t="n">
        <v>45946</v>
      </c>
      <c r="C225" t="inlineStr">
        <is>
          <t>EPA03</t>
        </is>
      </c>
      <c r="D225" t="n">
        <v>3</v>
      </c>
      <c r="E225" t="inlineStr">
        <is>
          <t>A015</t>
        </is>
      </c>
      <c r="F225" t="inlineStr">
        <is>
          <t>Faculty</t>
        </is>
      </c>
      <c r="G225" t="inlineStr">
        <is>
          <t>Sim</t>
        </is>
      </c>
      <c r="H225" t="inlineStr">
        <is>
          <t>CaseD</t>
        </is>
      </c>
      <c r="I225" s="3" t="inlineStr">
        <is>
          <t>Appropriate prioritization and plan articulation.</t>
        </is>
      </c>
      <c r="J225" s="3" t="inlineStr">
        <is>
          <t>Be more concise and state the plan earlier.</t>
        </is>
      </c>
      <c r="K225" t="n">
        <v>0</v>
      </c>
    </row>
    <row r="226">
      <c r="A226" t="inlineStr">
        <is>
          <t>L001</t>
        </is>
      </c>
      <c r="B226" s="6" t="n">
        <v>45990</v>
      </c>
      <c r="C226" t="inlineStr">
        <is>
          <t>EPA12</t>
        </is>
      </c>
      <c r="D226" t="n">
        <v>4</v>
      </c>
      <c r="E226" t="inlineStr">
        <is>
          <t>A003</t>
        </is>
      </c>
      <c r="F226" t="inlineStr">
        <is>
          <t>Faculty</t>
        </is>
      </c>
      <c r="G226" t="inlineStr">
        <is>
          <t>Sim</t>
        </is>
      </c>
      <c r="H226" t="inlineStr">
        <is>
          <t>CaseE</t>
        </is>
      </c>
      <c r="I226" s="3" t="inlineStr">
        <is>
          <t>Professional and patient-centered approach.</t>
        </is>
      </c>
      <c r="J226" s="3" t="inlineStr">
        <is>
          <t>Increase efficiency while maintaining safety checks.</t>
        </is>
      </c>
      <c r="K226" t="n">
        <v>0</v>
      </c>
    </row>
    <row r="227">
      <c r="A227" t="inlineStr">
        <is>
          <t>L002</t>
        </is>
      </c>
      <c r="B227" s="6" t="n">
        <v>46066</v>
      </c>
      <c r="C227" t="inlineStr">
        <is>
          <t>EPA06</t>
        </is>
      </c>
      <c r="D227" t="n">
        <v>2</v>
      </c>
      <c r="E227" t="inlineStr">
        <is>
          <t>A012</t>
        </is>
      </c>
      <c r="F227" t="inlineStr">
        <is>
          <t>Faculty</t>
        </is>
      </c>
      <c r="G227" t="inlineStr">
        <is>
          <t>OR</t>
        </is>
      </c>
      <c r="H227" t="inlineStr">
        <is>
          <t>CaseF</t>
        </is>
      </c>
      <c r="I227" s="3" t="inlineStr">
        <is>
          <t>Appropriate prioritization and plan articulation.</t>
        </is>
      </c>
      <c r="J227" s="3" t="inlineStr">
        <is>
          <t>Document key times and decisions more clearly.</t>
        </is>
      </c>
      <c r="K227" t="n">
        <v>0</v>
      </c>
    </row>
    <row r="228">
      <c r="A228" t="inlineStr">
        <is>
          <t>L017</t>
        </is>
      </c>
      <c r="B228" s="6" t="n">
        <v>45965</v>
      </c>
      <c r="C228" t="inlineStr">
        <is>
          <t>EPA11</t>
        </is>
      </c>
      <c r="D228" t="n">
        <v>2</v>
      </c>
      <c r="E228" t="inlineStr">
        <is>
          <t>A015</t>
        </is>
      </c>
      <c r="F228" t="inlineStr">
        <is>
          <t>Faculty</t>
        </is>
      </c>
      <c r="G228" t="inlineStr">
        <is>
          <t>ICU</t>
        </is>
      </c>
      <c r="H228" t="inlineStr">
        <is>
          <t>CaseF</t>
        </is>
      </c>
      <c r="I228" s="3" t="inlineStr">
        <is>
          <t>Professional and patient-centered approach.</t>
        </is>
      </c>
      <c r="J228" s="3" t="inlineStr">
        <is>
          <t>Increase efficiency while maintaining safety checks.</t>
        </is>
      </c>
      <c r="K228" t="n">
        <v>0</v>
      </c>
    </row>
    <row r="229">
      <c r="A229" t="inlineStr">
        <is>
          <t>L014</t>
        </is>
      </c>
      <c r="B229" s="6" t="n">
        <v>45895</v>
      </c>
      <c r="C229" t="inlineStr">
        <is>
          <t>EPA07</t>
        </is>
      </c>
      <c r="D229" t="n">
        <v>2</v>
      </c>
      <c r="E229" t="inlineStr">
        <is>
          <t>A003</t>
        </is>
      </c>
      <c r="F229" t="inlineStr">
        <is>
          <t>Faculty</t>
        </is>
      </c>
      <c r="G229" t="inlineStr">
        <is>
          <t>OPD</t>
        </is>
      </c>
      <c r="H229" t="inlineStr">
        <is>
          <t>CaseG</t>
        </is>
      </c>
      <c r="I229" s="3" t="n"/>
      <c r="J229" s="3" t="n"/>
      <c r="K229" t="n">
        <v>0</v>
      </c>
    </row>
    <row r="230">
      <c r="A230" t="inlineStr">
        <is>
          <t>L007</t>
        </is>
      </c>
      <c r="B230" s="6" t="n">
        <v>46031</v>
      </c>
      <c r="C230" t="inlineStr">
        <is>
          <t>EPA07</t>
        </is>
      </c>
      <c r="D230" t="n">
        <v>1</v>
      </c>
      <c r="E230" t="inlineStr">
        <is>
          <t>A015</t>
        </is>
      </c>
      <c r="F230" t="inlineStr">
        <is>
          <t>Faculty</t>
        </is>
      </c>
      <c r="G230" t="inlineStr">
        <is>
          <t>ED</t>
        </is>
      </c>
      <c r="H230" t="inlineStr">
        <is>
          <t>CaseE</t>
        </is>
      </c>
      <c r="I230" s="3" t="n"/>
      <c r="J230" s="3" t="n"/>
      <c r="K230" t="n">
        <v>0</v>
      </c>
    </row>
    <row r="231">
      <c r="A231" t="inlineStr">
        <is>
          <t>L011</t>
        </is>
      </c>
      <c r="B231" s="6" t="n">
        <v>45907</v>
      </c>
      <c r="C231" t="inlineStr">
        <is>
          <t>EPA05</t>
        </is>
      </c>
      <c r="D231" t="n">
        <v>2</v>
      </c>
      <c r="E231" t="inlineStr">
        <is>
          <t>A014</t>
        </is>
      </c>
      <c r="F231" t="inlineStr">
        <is>
          <t>Faculty</t>
        </is>
      </c>
      <c r="G231" t="inlineStr">
        <is>
          <t>Sim</t>
        </is>
      </c>
      <c r="H231" t="inlineStr">
        <is>
          <t>CaseE</t>
        </is>
      </c>
      <c r="I231" s="3" t="inlineStr">
        <is>
          <t>Clear structure and communication.</t>
        </is>
      </c>
      <c r="J231" s="3" t="inlineStr">
        <is>
          <t>Document key times and decisions more clearly.</t>
        </is>
      </c>
      <c r="K231" t="n">
        <v>0</v>
      </c>
    </row>
    <row r="232">
      <c r="A232" t="inlineStr">
        <is>
          <t>L002</t>
        </is>
      </c>
      <c r="B232" s="6" t="n">
        <v>45994</v>
      </c>
      <c r="C232" t="inlineStr">
        <is>
          <t>EPA05</t>
        </is>
      </c>
      <c r="D232" t="n">
        <v>4</v>
      </c>
      <c r="E232" t="inlineStr">
        <is>
          <t>A003</t>
        </is>
      </c>
      <c r="F232" t="inlineStr">
        <is>
          <t>Faculty</t>
        </is>
      </c>
      <c r="G232" t="inlineStr">
        <is>
          <t>ED</t>
        </is>
      </c>
      <c r="H232" t="inlineStr">
        <is>
          <t>CaseF</t>
        </is>
      </c>
      <c r="I232" s="3" t="n"/>
      <c r="J232" s="3" t="n"/>
      <c r="K232" t="n">
        <v>1</v>
      </c>
    </row>
    <row r="233">
      <c r="A233" t="inlineStr">
        <is>
          <t>L006</t>
        </is>
      </c>
      <c r="B233" s="6" t="n">
        <v>45984</v>
      </c>
      <c r="C233" t="inlineStr">
        <is>
          <t>EPA04</t>
        </is>
      </c>
      <c r="D233" t="n">
        <v>3</v>
      </c>
      <c r="E233" t="inlineStr">
        <is>
          <t>A007</t>
        </is>
      </c>
      <c r="F233" t="inlineStr">
        <is>
          <t>Faculty</t>
        </is>
      </c>
      <c r="G233" t="inlineStr">
        <is>
          <t>OPD</t>
        </is>
      </c>
      <c r="H233" t="inlineStr">
        <is>
          <t>CaseA</t>
        </is>
      </c>
      <c r="I233" s="3" t="inlineStr">
        <is>
          <t>Effective teamwork and closed-loop communication.</t>
        </is>
      </c>
      <c r="J233" s="3" t="inlineStr">
        <is>
          <t>Increase efficiency while maintaining safety checks.</t>
        </is>
      </c>
      <c r="K233" t="n">
        <v>1</v>
      </c>
    </row>
    <row r="234">
      <c r="A234" t="inlineStr">
        <is>
          <t>L015</t>
        </is>
      </c>
      <c r="B234" s="6" t="n">
        <v>45978</v>
      </c>
      <c r="C234" t="inlineStr">
        <is>
          <t>EPA08</t>
        </is>
      </c>
      <c r="D234" t="n">
        <v>5</v>
      </c>
      <c r="E234" t="inlineStr">
        <is>
          <t>A014</t>
        </is>
      </c>
      <c r="F234" t="inlineStr">
        <is>
          <t>Faculty</t>
        </is>
      </c>
      <c r="G234" t="inlineStr">
        <is>
          <t>Ward</t>
        </is>
      </c>
      <c r="H234" t="inlineStr">
        <is>
          <t>CaseB</t>
        </is>
      </c>
      <c r="I234" s="3" t="n"/>
      <c r="J234" s="3" t="n"/>
      <c r="K234" t="n">
        <v>0</v>
      </c>
    </row>
    <row r="235">
      <c r="A235" t="inlineStr">
        <is>
          <t>L022</t>
        </is>
      </c>
      <c r="B235" s="6" t="n">
        <v>46042</v>
      </c>
      <c r="C235" t="inlineStr">
        <is>
          <t>EPA03</t>
        </is>
      </c>
      <c r="D235" t="n">
        <v>3</v>
      </c>
      <c r="E235" t="inlineStr">
        <is>
          <t>A005</t>
        </is>
      </c>
      <c r="F235" t="inlineStr">
        <is>
          <t>Faculty</t>
        </is>
      </c>
      <c r="G235" t="inlineStr">
        <is>
          <t>Ward</t>
        </is>
      </c>
      <c r="H235" t="inlineStr">
        <is>
          <t>CaseG</t>
        </is>
      </c>
      <c r="I235" s="3" t="inlineStr">
        <is>
          <t>Good clinical reasoning with key findings identified.</t>
        </is>
      </c>
      <c r="J235" s="3" t="inlineStr">
        <is>
          <t>Clarify escalation criteria and communicate proactively.</t>
        </is>
      </c>
      <c r="K235" t="n">
        <v>0</v>
      </c>
    </row>
    <row r="236">
      <c r="A236" t="inlineStr">
        <is>
          <t>L022</t>
        </is>
      </c>
      <c r="B236" s="6" t="n">
        <v>45940</v>
      </c>
      <c r="C236" t="inlineStr">
        <is>
          <t>EPA04</t>
        </is>
      </c>
      <c r="D236" t="n">
        <v>4</v>
      </c>
      <c r="E236" t="inlineStr">
        <is>
          <t>A002</t>
        </is>
      </c>
      <c r="F236" t="inlineStr">
        <is>
          <t>Faculty</t>
        </is>
      </c>
      <c r="G236" t="inlineStr">
        <is>
          <t>OR</t>
        </is>
      </c>
      <c r="H236" t="inlineStr">
        <is>
          <t>CaseC</t>
        </is>
      </c>
      <c r="I236" s="3" t="inlineStr">
        <is>
          <t>Appropriate prioritization and plan articulation.</t>
        </is>
      </c>
      <c r="J236" s="3" t="inlineStr">
        <is>
          <t>Increase efficiency while maintaining safety checks.</t>
        </is>
      </c>
      <c r="K236" t="n">
        <v>0</v>
      </c>
    </row>
    <row r="237">
      <c r="A237" t="inlineStr">
        <is>
          <t>L019</t>
        </is>
      </c>
      <c r="B237" s="6" t="n">
        <v>45966</v>
      </c>
      <c r="C237" t="inlineStr">
        <is>
          <t>EPA10</t>
        </is>
      </c>
      <c r="D237" t="n">
        <v>4</v>
      </c>
      <c r="E237" t="inlineStr">
        <is>
          <t>A011</t>
        </is>
      </c>
      <c r="F237" t="inlineStr">
        <is>
          <t>Nurse</t>
        </is>
      </c>
      <c r="G237" t="inlineStr">
        <is>
          <t>OPD</t>
        </is>
      </c>
      <c r="H237" t="inlineStr">
        <is>
          <t>CaseC</t>
        </is>
      </c>
      <c r="I237" s="3" t="n"/>
      <c r="J237" s="3" t="n"/>
      <c r="K237" t="n">
        <v>0</v>
      </c>
    </row>
    <row r="238">
      <c r="A238" t="inlineStr">
        <is>
          <t>L011</t>
        </is>
      </c>
      <c r="B238" s="6" t="n">
        <v>45898</v>
      </c>
      <c r="C238" t="inlineStr">
        <is>
          <t>EPA05</t>
        </is>
      </c>
      <c r="D238" t="n">
        <v>3</v>
      </c>
      <c r="E238" t="inlineStr">
        <is>
          <t>A013</t>
        </is>
      </c>
      <c r="F238" t="inlineStr">
        <is>
          <t>Nurse</t>
        </is>
      </c>
      <c r="G238" t="inlineStr">
        <is>
          <t>Ward</t>
        </is>
      </c>
      <c r="H238" t="inlineStr">
        <is>
          <t>CaseC</t>
        </is>
      </c>
      <c r="I238" s="3" t="inlineStr">
        <is>
          <t>Clear structure and communication.</t>
        </is>
      </c>
      <c r="J238" s="3" t="inlineStr">
        <is>
          <t>Be more concise and state the plan earlier.</t>
        </is>
      </c>
      <c r="K238" t="n">
        <v>0</v>
      </c>
    </row>
    <row r="239">
      <c r="A239" t="inlineStr">
        <is>
          <t>L003</t>
        </is>
      </c>
      <c r="B239" s="6" t="n">
        <v>45939</v>
      </c>
      <c r="C239" t="inlineStr">
        <is>
          <t>EPA03</t>
        </is>
      </c>
      <c r="D239" t="n">
        <v>2</v>
      </c>
      <c r="E239" t="inlineStr">
        <is>
          <t>A014</t>
        </is>
      </c>
      <c r="F239" t="inlineStr">
        <is>
          <t>Faculty</t>
        </is>
      </c>
      <c r="G239" t="inlineStr">
        <is>
          <t>Ward</t>
        </is>
      </c>
      <c r="H239" t="inlineStr">
        <is>
          <t>CaseB</t>
        </is>
      </c>
      <c r="I239" s="3" t="inlineStr">
        <is>
          <t>Good clinical reasoning with key findings identified.</t>
        </is>
      </c>
      <c r="J239" s="3" t="inlineStr">
        <is>
          <t>Document key times and decisions more clearly.</t>
        </is>
      </c>
      <c r="K239" t="n">
        <v>0</v>
      </c>
    </row>
    <row r="240">
      <c r="A240" t="inlineStr">
        <is>
          <t>L019</t>
        </is>
      </c>
      <c r="B240" s="6" t="n">
        <v>46067</v>
      </c>
      <c r="C240" t="inlineStr">
        <is>
          <t>EPA01</t>
        </is>
      </c>
      <c r="D240" t="n">
        <v>3</v>
      </c>
      <c r="E240" t="inlineStr">
        <is>
          <t>A013</t>
        </is>
      </c>
      <c r="F240" t="inlineStr">
        <is>
          <t>Nurse</t>
        </is>
      </c>
      <c r="G240" t="inlineStr">
        <is>
          <t>ED</t>
        </is>
      </c>
      <c r="H240" t="inlineStr">
        <is>
          <t>CaseA</t>
        </is>
      </c>
      <c r="I240" s="3" t="n"/>
      <c r="J240" s="3" t="n"/>
      <c r="K240" t="n">
        <v>0</v>
      </c>
    </row>
    <row r="241">
      <c r="A241" t="inlineStr">
        <is>
          <t>L022</t>
        </is>
      </c>
      <c r="B241" s="6" t="n">
        <v>46044</v>
      </c>
      <c r="C241" t="inlineStr">
        <is>
          <t>EPA10</t>
        </is>
      </c>
      <c r="D241" t="n">
        <v>3</v>
      </c>
      <c r="E241" t="inlineStr">
        <is>
          <t>A004</t>
        </is>
      </c>
      <c r="F241" t="inlineStr">
        <is>
          <t>Faculty</t>
        </is>
      </c>
      <c r="G241" t="inlineStr">
        <is>
          <t>ED</t>
        </is>
      </c>
      <c r="H241" t="inlineStr">
        <is>
          <t>CaseC</t>
        </is>
      </c>
      <c r="I241" s="3" t="n"/>
      <c r="J241" s="3" t="n"/>
      <c r="K241" t="n">
        <v>0</v>
      </c>
    </row>
    <row r="242">
      <c r="A242" t="inlineStr">
        <is>
          <t>L004</t>
        </is>
      </c>
      <c r="B242" s="6" t="n">
        <v>45941</v>
      </c>
      <c r="C242" t="inlineStr">
        <is>
          <t>EPA06</t>
        </is>
      </c>
      <c r="D242" t="n">
        <v>3</v>
      </c>
      <c r="E242" t="inlineStr">
        <is>
          <t>A009</t>
        </is>
      </c>
      <c r="F242" t="inlineStr">
        <is>
          <t>AlliedHealth</t>
        </is>
      </c>
      <c r="G242" t="inlineStr">
        <is>
          <t>OPD</t>
        </is>
      </c>
      <c r="H242" t="inlineStr">
        <is>
          <t>CaseE</t>
        </is>
      </c>
      <c r="I242" s="3" t="n"/>
      <c r="J242" s="3" t="n"/>
      <c r="K242" t="n">
        <v>0</v>
      </c>
    </row>
    <row r="243">
      <c r="A243" t="inlineStr">
        <is>
          <t>L013</t>
        </is>
      </c>
      <c r="B243" s="6" t="n">
        <v>45990</v>
      </c>
      <c r="C243" t="inlineStr">
        <is>
          <t>EPA04</t>
        </is>
      </c>
      <c r="D243" t="n">
        <v>4</v>
      </c>
      <c r="E243" t="inlineStr">
        <is>
          <t>A013</t>
        </is>
      </c>
      <c r="F243" t="inlineStr">
        <is>
          <t>Nurse</t>
        </is>
      </c>
      <c r="G243" t="inlineStr">
        <is>
          <t>ED</t>
        </is>
      </c>
      <c r="H243" t="inlineStr">
        <is>
          <t>CaseA</t>
        </is>
      </c>
      <c r="I243" s="3" t="inlineStr">
        <is>
          <t>Appropriate prioritization and plan articulation.</t>
        </is>
      </c>
      <c r="J243" s="3" t="inlineStr">
        <is>
          <t>Clarify escalation criteria and communicate proactively.</t>
        </is>
      </c>
      <c r="K243" t="n">
        <v>0</v>
      </c>
    </row>
    <row r="244">
      <c r="A244" t="inlineStr">
        <is>
          <t>L016</t>
        </is>
      </c>
      <c r="B244" s="6" t="n">
        <v>45947</v>
      </c>
      <c r="C244" t="inlineStr">
        <is>
          <t>EPA07</t>
        </is>
      </c>
      <c r="D244" t="n">
        <v>4</v>
      </c>
      <c r="E244" t="inlineStr">
        <is>
          <t>A015</t>
        </is>
      </c>
      <c r="F244" t="inlineStr">
        <is>
          <t>Faculty</t>
        </is>
      </c>
      <c r="G244" t="inlineStr">
        <is>
          <t>Sim</t>
        </is>
      </c>
      <c r="H244" t="inlineStr">
        <is>
          <t>CaseC</t>
        </is>
      </c>
      <c r="I244" s="3" t="inlineStr">
        <is>
          <t>Effective teamwork and closed-loop communication.</t>
        </is>
      </c>
      <c r="J244" s="3" t="inlineStr">
        <is>
          <t>Broaden the differential diagnosis and justify choices.</t>
        </is>
      </c>
      <c r="K244" t="n">
        <v>0</v>
      </c>
    </row>
    <row r="245">
      <c r="A245" t="inlineStr">
        <is>
          <t>L008</t>
        </is>
      </c>
      <c r="B245" s="6" t="n">
        <v>45995</v>
      </c>
      <c r="C245" t="inlineStr">
        <is>
          <t>EPA01</t>
        </is>
      </c>
      <c r="D245" t="n">
        <v>4</v>
      </c>
      <c r="E245" t="inlineStr">
        <is>
          <t>A001</t>
        </is>
      </c>
      <c r="F245" t="inlineStr">
        <is>
          <t>Faculty</t>
        </is>
      </c>
      <c r="G245" t="inlineStr">
        <is>
          <t>ICU</t>
        </is>
      </c>
      <c r="H245" t="inlineStr">
        <is>
          <t>CaseB</t>
        </is>
      </c>
      <c r="I245" s="3" t="n"/>
      <c r="J245" s="3" t="n"/>
      <c r="K245" t="n">
        <v>0</v>
      </c>
    </row>
    <row r="246">
      <c r="A246" t="inlineStr">
        <is>
          <t>L024</t>
        </is>
      </c>
      <c r="B246" s="6" t="n">
        <v>46018</v>
      </c>
      <c r="C246" t="inlineStr">
        <is>
          <t>EPA01</t>
        </is>
      </c>
      <c r="D246" t="n">
        <v>5</v>
      </c>
      <c r="E246" t="inlineStr">
        <is>
          <t>A013</t>
        </is>
      </c>
      <c r="F246" t="inlineStr">
        <is>
          <t>Nurse</t>
        </is>
      </c>
      <c r="G246" t="inlineStr">
        <is>
          <t>Ward</t>
        </is>
      </c>
      <c r="H246" t="inlineStr">
        <is>
          <t>CaseD</t>
        </is>
      </c>
      <c r="I246" s="3" t="n"/>
      <c r="J246" s="3" t="n"/>
      <c r="K246" t="n">
        <v>1</v>
      </c>
    </row>
    <row r="247">
      <c r="A247" t="inlineStr">
        <is>
          <t>L007</t>
        </is>
      </c>
      <c r="B247" s="6" t="n">
        <v>45977</v>
      </c>
      <c r="C247" t="inlineStr">
        <is>
          <t>EPA06</t>
        </is>
      </c>
      <c r="D247" t="n">
        <v>2</v>
      </c>
      <c r="E247" t="inlineStr">
        <is>
          <t>A003</t>
        </is>
      </c>
      <c r="F247" t="inlineStr">
        <is>
          <t>Faculty</t>
        </is>
      </c>
      <c r="G247" t="inlineStr">
        <is>
          <t>ICU</t>
        </is>
      </c>
      <c r="H247" t="inlineStr">
        <is>
          <t>CaseC</t>
        </is>
      </c>
      <c r="I247" s="3" t="n"/>
      <c r="J247" s="3" t="n"/>
      <c r="K247" t="n">
        <v>0</v>
      </c>
    </row>
    <row r="248">
      <c r="A248" t="inlineStr">
        <is>
          <t>L024</t>
        </is>
      </c>
      <c r="B248" s="6" t="n">
        <v>45928</v>
      </c>
      <c r="C248" t="inlineStr">
        <is>
          <t>EPA02</t>
        </is>
      </c>
      <c r="D248" t="n">
        <v>4</v>
      </c>
      <c r="E248" t="inlineStr">
        <is>
          <t>A013</t>
        </is>
      </c>
      <c r="F248" t="inlineStr">
        <is>
          <t>Nurse</t>
        </is>
      </c>
      <c r="G248" t="inlineStr">
        <is>
          <t>Ward</t>
        </is>
      </c>
      <c r="H248" t="inlineStr">
        <is>
          <t>CaseF</t>
        </is>
      </c>
      <c r="I248" s="3" t="n"/>
      <c r="J248" s="3" t="n"/>
      <c r="K248" t="n">
        <v>0</v>
      </c>
    </row>
    <row r="249">
      <c r="A249" t="inlineStr">
        <is>
          <t>L005</t>
        </is>
      </c>
      <c r="B249" s="6" t="n">
        <v>46071</v>
      </c>
      <c r="C249" t="inlineStr">
        <is>
          <t>EPA07</t>
        </is>
      </c>
      <c r="D249" t="n">
        <v>2</v>
      </c>
      <c r="E249" t="inlineStr">
        <is>
          <t>A014</t>
        </is>
      </c>
      <c r="F249" t="inlineStr">
        <is>
          <t>Faculty</t>
        </is>
      </c>
      <c r="G249" t="inlineStr">
        <is>
          <t>OPD</t>
        </is>
      </c>
      <c r="H249" t="inlineStr">
        <is>
          <t>CaseF</t>
        </is>
      </c>
      <c r="I249" s="3" t="inlineStr">
        <is>
          <t>Effective teamwork and closed-loop communication.</t>
        </is>
      </c>
      <c r="J249" s="3" t="inlineStr">
        <is>
          <t>Document key times and decisions more clearly.</t>
        </is>
      </c>
      <c r="K249" t="n">
        <v>0</v>
      </c>
    </row>
    <row r="250">
      <c r="A250" t="inlineStr">
        <is>
          <t>L012</t>
        </is>
      </c>
      <c r="B250" s="6" t="n">
        <v>45907</v>
      </c>
      <c r="C250" t="inlineStr">
        <is>
          <t>EPA11</t>
        </is>
      </c>
      <c r="D250" t="n">
        <v>4</v>
      </c>
      <c r="E250" t="inlineStr">
        <is>
          <t>A012</t>
        </is>
      </c>
      <c r="F250" t="inlineStr">
        <is>
          <t>Faculty</t>
        </is>
      </c>
      <c r="G250" t="inlineStr">
        <is>
          <t>ICU</t>
        </is>
      </c>
      <c r="H250" t="inlineStr">
        <is>
          <t>CaseE</t>
        </is>
      </c>
      <c r="I250" s="3" t="inlineStr">
        <is>
          <t>Professional and patient-centered approach.</t>
        </is>
      </c>
      <c r="J250" s="3" t="inlineStr">
        <is>
          <t>Broaden the differential diagnosis and justify choices.</t>
        </is>
      </c>
      <c r="K250" t="n">
        <v>0</v>
      </c>
    </row>
    <row r="251">
      <c r="A251" t="inlineStr">
        <is>
          <t>L007</t>
        </is>
      </c>
      <c r="B251" s="6" t="n">
        <v>46044</v>
      </c>
      <c r="C251" t="inlineStr">
        <is>
          <t>EPA04</t>
        </is>
      </c>
      <c r="D251" t="n">
        <v>4</v>
      </c>
      <c r="E251" t="inlineStr">
        <is>
          <t>A007</t>
        </is>
      </c>
      <c r="F251" t="inlineStr">
        <is>
          <t>Faculty</t>
        </is>
      </c>
      <c r="G251" t="inlineStr">
        <is>
          <t>OPD</t>
        </is>
      </c>
      <c r="H251" t="inlineStr">
        <is>
          <t>CaseG</t>
        </is>
      </c>
      <c r="I251" s="3" t="inlineStr">
        <is>
          <t>Professional and patient-centered approach.</t>
        </is>
      </c>
      <c r="J251" s="3" t="inlineStr">
        <is>
          <t>Increase efficiency while maintaining safety checks.</t>
        </is>
      </c>
      <c r="K251" t="n">
        <v>0</v>
      </c>
    </row>
    <row r="252">
      <c r="A252" t="inlineStr">
        <is>
          <t>L001</t>
        </is>
      </c>
      <c r="B252" s="6" t="n">
        <v>46044</v>
      </c>
      <c r="C252" t="inlineStr">
        <is>
          <t>EPA09</t>
        </is>
      </c>
      <c r="D252" t="n">
        <v>3</v>
      </c>
      <c r="E252" t="inlineStr">
        <is>
          <t>A005</t>
        </is>
      </c>
      <c r="F252" t="inlineStr">
        <is>
          <t>Faculty</t>
        </is>
      </c>
      <c r="G252" t="inlineStr">
        <is>
          <t>ED</t>
        </is>
      </c>
      <c r="H252" t="inlineStr">
        <is>
          <t>CaseG</t>
        </is>
      </c>
      <c r="I252" s="3" t="inlineStr">
        <is>
          <t>Professional and patient-centered approach.</t>
        </is>
      </c>
      <c r="J252" s="3" t="inlineStr">
        <is>
          <t>Increase efficiency while maintaining safety checks.</t>
        </is>
      </c>
      <c r="K252" t="n">
        <v>0</v>
      </c>
    </row>
    <row r="253">
      <c r="A253" t="inlineStr">
        <is>
          <t>L010</t>
        </is>
      </c>
      <c r="B253" s="6" t="n">
        <v>45919</v>
      </c>
      <c r="C253" t="inlineStr">
        <is>
          <t>EPA11</t>
        </is>
      </c>
      <c r="D253" t="n">
        <v>5</v>
      </c>
      <c r="E253" t="inlineStr">
        <is>
          <t>A006</t>
        </is>
      </c>
      <c r="F253" t="inlineStr">
        <is>
          <t>Faculty</t>
        </is>
      </c>
      <c r="G253" t="inlineStr">
        <is>
          <t>OR</t>
        </is>
      </c>
      <c r="H253" t="inlineStr">
        <is>
          <t>CaseA</t>
        </is>
      </c>
      <c r="I253" s="3" t="inlineStr">
        <is>
          <t>Good clinical reasoning with key findings identified.</t>
        </is>
      </c>
      <c r="J253" s="3" t="inlineStr">
        <is>
          <t>Clarify escalation criteria and communicate proactively.</t>
        </is>
      </c>
      <c r="K253" t="n">
        <v>0</v>
      </c>
    </row>
    <row r="254">
      <c r="A254" t="inlineStr">
        <is>
          <t>L020</t>
        </is>
      </c>
      <c r="B254" s="6" t="n">
        <v>45940</v>
      </c>
      <c r="C254" t="inlineStr">
        <is>
          <t>EPA07</t>
        </is>
      </c>
      <c r="D254" t="n">
        <v>2</v>
      </c>
      <c r="E254" t="inlineStr">
        <is>
          <t>A014</t>
        </is>
      </c>
      <c r="F254" t="inlineStr">
        <is>
          <t>Faculty</t>
        </is>
      </c>
      <c r="G254" t="inlineStr">
        <is>
          <t>ED</t>
        </is>
      </c>
      <c r="H254" t="inlineStr">
        <is>
          <t>CaseC</t>
        </is>
      </c>
      <c r="I254" s="3" t="n"/>
      <c r="J254" s="3" t="n"/>
      <c r="K254" t="n">
        <v>0</v>
      </c>
    </row>
    <row r="255">
      <c r="A255" t="inlineStr">
        <is>
          <t>L007</t>
        </is>
      </c>
      <c r="B255" s="6" t="n">
        <v>46026</v>
      </c>
      <c r="C255" t="inlineStr">
        <is>
          <t>EPA04</t>
        </is>
      </c>
      <c r="D255" t="n">
        <v>3</v>
      </c>
      <c r="E255" t="inlineStr">
        <is>
          <t>A010</t>
        </is>
      </c>
      <c r="F255" t="inlineStr">
        <is>
          <t>Faculty</t>
        </is>
      </c>
      <c r="G255" t="inlineStr">
        <is>
          <t>ICU</t>
        </is>
      </c>
      <c r="H255" t="inlineStr">
        <is>
          <t>CaseC</t>
        </is>
      </c>
      <c r="I255" s="3" t="inlineStr">
        <is>
          <t>Good clinical reasoning with key findings identified.</t>
        </is>
      </c>
      <c r="J255" s="3" t="n"/>
      <c r="K255" t="n">
        <v>0</v>
      </c>
    </row>
    <row r="256">
      <c r="A256" t="inlineStr">
        <is>
          <t>L009</t>
        </is>
      </c>
      <c r="B256" s="6" t="n">
        <v>46023</v>
      </c>
      <c r="C256" t="inlineStr">
        <is>
          <t>EPA07</t>
        </is>
      </c>
      <c r="D256" t="n">
        <v>3</v>
      </c>
      <c r="E256" t="inlineStr">
        <is>
          <t>A015</t>
        </is>
      </c>
      <c r="F256" t="inlineStr">
        <is>
          <t>Faculty</t>
        </is>
      </c>
      <c r="G256" t="inlineStr">
        <is>
          <t>OPD</t>
        </is>
      </c>
      <c r="H256" t="inlineStr">
        <is>
          <t>CaseA</t>
        </is>
      </c>
      <c r="I256" s="3" t="n"/>
      <c r="J256" s="3" t="n"/>
      <c r="K256" t="n">
        <v>0</v>
      </c>
    </row>
    <row r="257">
      <c r="A257" t="inlineStr">
        <is>
          <t>L022</t>
        </is>
      </c>
      <c r="B257" s="6" t="n">
        <v>45938</v>
      </c>
      <c r="C257" t="inlineStr">
        <is>
          <t>EPA09</t>
        </is>
      </c>
      <c r="D257" t="n">
        <v>3</v>
      </c>
      <c r="E257" t="inlineStr">
        <is>
          <t>A006</t>
        </is>
      </c>
      <c r="F257" t="inlineStr">
        <is>
          <t>Faculty</t>
        </is>
      </c>
      <c r="G257" t="inlineStr">
        <is>
          <t>Sim</t>
        </is>
      </c>
      <c r="H257" t="inlineStr">
        <is>
          <t>CaseA</t>
        </is>
      </c>
      <c r="I257" s="3" t="n"/>
      <c r="J257" s="3" t="n"/>
      <c r="K257" t="n">
        <v>0</v>
      </c>
    </row>
    <row r="258">
      <c r="A258" t="inlineStr">
        <is>
          <t>L025</t>
        </is>
      </c>
      <c r="B258" s="6" t="n">
        <v>45957</v>
      </c>
      <c r="C258" t="inlineStr">
        <is>
          <t>EPA08</t>
        </is>
      </c>
      <c r="D258" t="n">
        <v>4</v>
      </c>
      <c r="E258" t="inlineStr">
        <is>
          <t>A005</t>
        </is>
      </c>
      <c r="F258" t="inlineStr">
        <is>
          <t>Faculty</t>
        </is>
      </c>
      <c r="G258" t="inlineStr">
        <is>
          <t>OPD</t>
        </is>
      </c>
      <c r="H258" t="inlineStr">
        <is>
          <t>CaseG</t>
        </is>
      </c>
      <c r="I258" s="3" t="inlineStr">
        <is>
          <t>Good clinical reasoning with key findings identified.</t>
        </is>
      </c>
      <c r="J258" s="3" t="inlineStr">
        <is>
          <t>Increase efficiency while maintaining safety checks.</t>
        </is>
      </c>
      <c r="K258" t="n">
        <v>0</v>
      </c>
    </row>
    <row r="259">
      <c r="A259" t="inlineStr">
        <is>
          <t>L009</t>
        </is>
      </c>
      <c r="B259" s="6" t="n">
        <v>46037</v>
      </c>
      <c r="C259" t="inlineStr">
        <is>
          <t>EPA06</t>
        </is>
      </c>
      <c r="D259" t="n">
        <v>3</v>
      </c>
      <c r="E259" t="inlineStr">
        <is>
          <t>A004</t>
        </is>
      </c>
      <c r="F259" t="inlineStr">
        <is>
          <t>Faculty</t>
        </is>
      </c>
      <c r="G259" t="inlineStr">
        <is>
          <t>ICU</t>
        </is>
      </c>
      <c r="H259" t="inlineStr">
        <is>
          <t>CaseD</t>
        </is>
      </c>
      <c r="I259" s="3" t="n"/>
      <c r="J259" s="3" t="n"/>
      <c r="K259" t="n">
        <v>0</v>
      </c>
    </row>
    <row r="260">
      <c r="A260" t="inlineStr">
        <is>
          <t>L018</t>
        </is>
      </c>
      <c r="B260" s="6" t="n">
        <v>46074</v>
      </c>
      <c r="C260" t="inlineStr">
        <is>
          <t>EPA04</t>
        </is>
      </c>
      <c r="D260" t="n">
        <v>4</v>
      </c>
      <c r="E260" t="inlineStr">
        <is>
          <t>A003</t>
        </is>
      </c>
      <c r="F260" t="inlineStr">
        <is>
          <t>Faculty</t>
        </is>
      </c>
      <c r="G260" t="inlineStr">
        <is>
          <t>Sim</t>
        </is>
      </c>
      <c r="H260" t="inlineStr">
        <is>
          <t>CaseD</t>
        </is>
      </c>
      <c r="I260" s="3" t="inlineStr">
        <is>
          <t>Effective teamwork and closed-loop communication.</t>
        </is>
      </c>
      <c r="J260" s="3" t="inlineStr">
        <is>
          <t>Document key times and decisions more clearly.</t>
        </is>
      </c>
      <c r="K260" t="n">
        <v>0</v>
      </c>
    </row>
    <row r="261">
      <c r="A261" t="inlineStr">
        <is>
          <t>L001</t>
        </is>
      </c>
      <c r="B261" s="6" t="n">
        <v>45941</v>
      </c>
      <c r="C261" t="inlineStr">
        <is>
          <t>EPA05</t>
        </is>
      </c>
      <c r="D261" t="n">
        <v>4</v>
      </c>
      <c r="E261" t="inlineStr">
        <is>
          <t>A005</t>
        </is>
      </c>
      <c r="F261" t="inlineStr">
        <is>
          <t>Faculty</t>
        </is>
      </c>
      <c r="G261" t="inlineStr">
        <is>
          <t>ED</t>
        </is>
      </c>
      <c r="H261" t="inlineStr">
        <is>
          <t>CaseD</t>
        </is>
      </c>
      <c r="I261" s="3" t="inlineStr">
        <is>
          <t>Effective teamwork and closed-loop communication.</t>
        </is>
      </c>
      <c r="J261" s="3" t="inlineStr">
        <is>
          <t>Clarify escalation criteria and communicate proactively.</t>
        </is>
      </c>
      <c r="K261" t="n">
        <v>0</v>
      </c>
    </row>
    <row r="262">
      <c r="A262" t="inlineStr">
        <is>
          <t>L004</t>
        </is>
      </c>
      <c r="B262" s="6" t="n">
        <v>45976</v>
      </c>
      <c r="C262" t="inlineStr">
        <is>
          <t>EPA11</t>
        </is>
      </c>
      <c r="D262" t="n">
        <v>5</v>
      </c>
      <c r="E262" t="inlineStr">
        <is>
          <t>A008</t>
        </is>
      </c>
      <c r="F262" t="inlineStr">
        <is>
          <t>AlliedHealth</t>
        </is>
      </c>
      <c r="G262" t="inlineStr">
        <is>
          <t>ICU</t>
        </is>
      </c>
      <c r="H262" t="inlineStr">
        <is>
          <t>CaseD</t>
        </is>
      </c>
      <c r="I262" s="3" t="inlineStr">
        <is>
          <t>Good clinical reasoning with key findings identified.</t>
        </is>
      </c>
      <c r="J262" s="3" t="inlineStr">
        <is>
          <t>Increase efficiency while maintaining safety checks.</t>
        </is>
      </c>
      <c r="K262" t="n">
        <v>0</v>
      </c>
    </row>
    <row r="263">
      <c r="A263" t="inlineStr">
        <is>
          <t>L024</t>
        </is>
      </c>
      <c r="B263" s="6" t="n">
        <v>46038</v>
      </c>
      <c r="C263" t="inlineStr">
        <is>
          <t>EPA02</t>
        </is>
      </c>
      <c r="D263" t="n">
        <v>5</v>
      </c>
      <c r="E263" t="inlineStr">
        <is>
          <t>A014</t>
        </is>
      </c>
      <c r="F263" t="inlineStr">
        <is>
          <t>Faculty</t>
        </is>
      </c>
      <c r="G263" t="inlineStr">
        <is>
          <t>OR</t>
        </is>
      </c>
      <c r="H263" t="inlineStr">
        <is>
          <t>CaseB</t>
        </is>
      </c>
      <c r="I263" s="3" t="inlineStr">
        <is>
          <t>Appropriate prioritization and plan articulation.</t>
        </is>
      </c>
      <c r="J263" s="3" t="inlineStr">
        <is>
          <t>Clarify escalation criteria and communicate proactively.</t>
        </is>
      </c>
      <c r="K263" t="n">
        <v>0</v>
      </c>
    </row>
    <row r="264">
      <c r="A264" t="inlineStr">
        <is>
          <t>L002</t>
        </is>
      </c>
      <c r="B264" s="6" t="n">
        <v>46021</v>
      </c>
      <c r="C264" t="inlineStr">
        <is>
          <t>EPA01</t>
        </is>
      </c>
      <c r="D264" t="n">
        <v>5</v>
      </c>
      <c r="E264" t="inlineStr">
        <is>
          <t>A002</t>
        </is>
      </c>
      <c r="F264" t="inlineStr">
        <is>
          <t>Faculty</t>
        </is>
      </c>
      <c r="G264" t="inlineStr">
        <is>
          <t>Sim</t>
        </is>
      </c>
      <c r="H264" t="inlineStr">
        <is>
          <t>CaseB</t>
        </is>
      </c>
      <c r="I264" s="3" t="inlineStr">
        <is>
          <t>Effective teamwork and closed-loop communication.</t>
        </is>
      </c>
      <c r="J264" s="3" t="inlineStr">
        <is>
          <t>Be more concise and state the plan earlier.</t>
        </is>
      </c>
      <c r="K264" t="n">
        <v>0</v>
      </c>
    </row>
    <row r="265">
      <c r="A265" t="inlineStr">
        <is>
          <t>L017</t>
        </is>
      </c>
      <c r="B265" s="6" t="n">
        <v>45954</v>
      </c>
      <c r="C265" t="inlineStr">
        <is>
          <t>EPA05</t>
        </is>
      </c>
      <c r="D265" t="n">
        <v>5</v>
      </c>
      <c r="E265" t="inlineStr">
        <is>
          <t>A001</t>
        </is>
      </c>
      <c r="F265" t="inlineStr">
        <is>
          <t>Faculty</t>
        </is>
      </c>
      <c r="G265" t="inlineStr">
        <is>
          <t>ICU</t>
        </is>
      </c>
      <c r="H265" t="inlineStr">
        <is>
          <t>CaseA</t>
        </is>
      </c>
      <c r="I265" s="3" t="inlineStr">
        <is>
          <t>Effective teamwork and closed-loop communication.</t>
        </is>
      </c>
      <c r="J265" s="3" t="inlineStr">
        <is>
          <t>Increase efficiency while maintaining safety checks.</t>
        </is>
      </c>
      <c r="K265" t="n">
        <v>0</v>
      </c>
    </row>
    <row r="266">
      <c r="A266" t="inlineStr">
        <is>
          <t>L008</t>
        </is>
      </c>
      <c r="B266" s="6" t="n">
        <v>45907</v>
      </c>
      <c r="C266" t="inlineStr">
        <is>
          <t>EPA08</t>
        </is>
      </c>
      <c r="D266" t="n">
        <v>5</v>
      </c>
      <c r="E266" t="inlineStr">
        <is>
          <t>A013</t>
        </is>
      </c>
      <c r="F266" t="inlineStr">
        <is>
          <t>Nurse</t>
        </is>
      </c>
      <c r="G266" t="inlineStr">
        <is>
          <t>ED</t>
        </is>
      </c>
      <c r="H266" t="inlineStr">
        <is>
          <t>CaseG</t>
        </is>
      </c>
      <c r="I266" s="3" t="inlineStr">
        <is>
          <t>Clear structure and communication.</t>
        </is>
      </c>
      <c r="J266" s="3" t="inlineStr">
        <is>
          <t>Broaden the differential diagnosis and justify choices.</t>
        </is>
      </c>
      <c r="K266" t="n">
        <v>0</v>
      </c>
    </row>
    <row r="267">
      <c r="A267" t="inlineStr">
        <is>
          <t>L006</t>
        </is>
      </c>
      <c r="B267" s="6" t="n">
        <v>45913</v>
      </c>
      <c r="C267" t="inlineStr">
        <is>
          <t>EPA11</t>
        </is>
      </c>
      <c r="D267" t="n">
        <v>3</v>
      </c>
      <c r="E267" t="inlineStr">
        <is>
          <t>A014</t>
        </is>
      </c>
      <c r="F267" t="inlineStr">
        <is>
          <t>Faculty</t>
        </is>
      </c>
      <c r="G267" t="inlineStr">
        <is>
          <t>ICU</t>
        </is>
      </c>
      <c r="H267" t="inlineStr">
        <is>
          <t>CaseA</t>
        </is>
      </c>
      <c r="I267" s="3" t="inlineStr">
        <is>
          <t>Effective teamwork and closed-loop communication.</t>
        </is>
      </c>
      <c r="J267" s="3" t="inlineStr">
        <is>
          <t>Document key times and decisions more clearly.</t>
        </is>
      </c>
      <c r="K267" t="n">
        <v>0</v>
      </c>
    </row>
    <row r="268">
      <c r="A268" t="inlineStr">
        <is>
          <t>L014</t>
        </is>
      </c>
      <c r="B268" s="6" t="n">
        <v>46025</v>
      </c>
      <c r="C268" t="inlineStr">
        <is>
          <t>EPA04</t>
        </is>
      </c>
      <c r="D268" t="n">
        <v>4</v>
      </c>
      <c r="E268" t="inlineStr">
        <is>
          <t>A009</t>
        </is>
      </c>
      <c r="F268" t="inlineStr">
        <is>
          <t>AlliedHealth</t>
        </is>
      </c>
      <c r="G268" t="inlineStr">
        <is>
          <t>Sim</t>
        </is>
      </c>
      <c r="H268" t="inlineStr">
        <is>
          <t>CaseG</t>
        </is>
      </c>
      <c r="I268" s="3" t="inlineStr">
        <is>
          <t>Effective teamwork and closed-loop communication.</t>
        </is>
      </c>
      <c r="J268" s="3" t="n"/>
      <c r="K268" t="n">
        <v>0</v>
      </c>
    </row>
    <row r="269">
      <c r="A269" t="inlineStr">
        <is>
          <t>L004</t>
        </is>
      </c>
      <c r="B269" s="6" t="n">
        <v>45964</v>
      </c>
      <c r="C269" t="inlineStr">
        <is>
          <t>EPA01</t>
        </is>
      </c>
      <c r="D269" t="n">
        <v>4</v>
      </c>
      <c r="E269" t="inlineStr">
        <is>
          <t>A010</t>
        </is>
      </c>
      <c r="F269" t="inlineStr">
        <is>
          <t>Faculty</t>
        </is>
      </c>
      <c r="G269" t="inlineStr">
        <is>
          <t>OPD</t>
        </is>
      </c>
      <c r="H269" t="inlineStr">
        <is>
          <t>CaseF</t>
        </is>
      </c>
      <c r="I269" s="3" t="inlineStr">
        <is>
          <t>Clear structure and communication.</t>
        </is>
      </c>
      <c r="J269" s="3" t="inlineStr">
        <is>
          <t>Document key times and decisions more clearly.</t>
        </is>
      </c>
      <c r="K269" t="n">
        <v>0</v>
      </c>
    </row>
    <row r="270">
      <c r="A270" t="inlineStr">
        <is>
          <t>L016</t>
        </is>
      </c>
      <c r="B270" s="6" t="n">
        <v>45963</v>
      </c>
      <c r="C270" t="inlineStr">
        <is>
          <t>EPA09</t>
        </is>
      </c>
      <c r="D270" t="n">
        <v>4</v>
      </c>
      <c r="E270" t="inlineStr">
        <is>
          <t>A003</t>
        </is>
      </c>
      <c r="F270" t="inlineStr">
        <is>
          <t>Faculty</t>
        </is>
      </c>
      <c r="G270" t="inlineStr">
        <is>
          <t>Sim</t>
        </is>
      </c>
      <c r="H270" t="inlineStr">
        <is>
          <t>CaseG</t>
        </is>
      </c>
      <c r="I270" s="3" t="inlineStr">
        <is>
          <t>Professional and patient-centered approach.</t>
        </is>
      </c>
      <c r="J270" s="3" t="inlineStr">
        <is>
          <t>Clarify escalation criteria and communicate proactively.</t>
        </is>
      </c>
      <c r="K270" t="n">
        <v>0</v>
      </c>
    </row>
    <row r="271">
      <c r="A271" t="inlineStr">
        <is>
          <t>L015</t>
        </is>
      </c>
      <c r="B271" s="6" t="n">
        <v>46002</v>
      </c>
      <c r="C271" t="inlineStr">
        <is>
          <t>EPA02</t>
        </is>
      </c>
      <c r="D271" t="n">
        <v>4</v>
      </c>
      <c r="E271" t="inlineStr">
        <is>
          <t>A012</t>
        </is>
      </c>
      <c r="F271" t="inlineStr">
        <is>
          <t>Faculty</t>
        </is>
      </c>
      <c r="G271" t="inlineStr">
        <is>
          <t>Ward</t>
        </is>
      </c>
      <c r="H271" t="inlineStr">
        <is>
          <t>CaseD</t>
        </is>
      </c>
      <c r="I271" s="3" t="inlineStr">
        <is>
          <t>Good clinical reasoning with key findings identified.</t>
        </is>
      </c>
      <c r="J271" s="3" t="inlineStr">
        <is>
          <t>Be more concise and state the plan earlier.</t>
        </is>
      </c>
      <c r="K271" t="n">
        <v>0</v>
      </c>
    </row>
    <row r="272">
      <c r="A272" t="inlineStr">
        <is>
          <t>L007</t>
        </is>
      </c>
      <c r="B272" s="6" t="n">
        <v>46023</v>
      </c>
      <c r="C272" t="inlineStr">
        <is>
          <t>EPA06</t>
        </is>
      </c>
      <c r="D272" t="n">
        <v>2</v>
      </c>
      <c r="E272" t="inlineStr">
        <is>
          <t>A003</t>
        </is>
      </c>
      <c r="F272" t="inlineStr">
        <is>
          <t>Faculty</t>
        </is>
      </c>
      <c r="G272" t="inlineStr">
        <is>
          <t>ED</t>
        </is>
      </c>
      <c r="H272" t="inlineStr">
        <is>
          <t>CaseF</t>
        </is>
      </c>
      <c r="I272" s="3" t="n"/>
      <c r="J272" s="3" t="n"/>
      <c r="K272" t="n">
        <v>0</v>
      </c>
    </row>
    <row r="273">
      <c r="A273" t="inlineStr">
        <is>
          <t>L015</t>
        </is>
      </c>
      <c r="B273" s="6" t="n">
        <v>46022</v>
      </c>
      <c r="C273" t="inlineStr">
        <is>
          <t>EPA11</t>
        </is>
      </c>
      <c r="D273" t="n">
        <v>4</v>
      </c>
      <c r="E273" t="inlineStr">
        <is>
          <t>A014</t>
        </is>
      </c>
      <c r="F273" t="inlineStr">
        <is>
          <t>Faculty</t>
        </is>
      </c>
      <c r="G273" t="inlineStr">
        <is>
          <t>OPD</t>
        </is>
      </c>
      <c r="H273" t="inlineStr">
        <is>
          <t>CaseG</t>
        </is>
      </c>
      <c r="I273" s="3" t="inlineStr">
        <is>
          <t>Effective teamwork and closed-loop communication.</t>
        </is>
      </c>
      <c r="J273" s="3" t="inlineStr">
        <is>
          <t>Clarify escalation criteria and communicate proactively.</t>
        </is>
      </c>
      <c r="K273" t="n">
        <v>0</v>
      </c>
    </row>
    <row r="274">
      <c r="A274" t="inlineStr">
        <is>
          <t>L007</t>
        </is>
      </c>
      <c r="B274" s="6" t="n">
        <v>45994</v>
      </c>
      <c r="C274" t="inlineStr">
        <is>
          <t>EPA12</t>
        </is>
      </c>
      <c r="D274" t="n">
        <v>3</v>
      </c>
      <c r="E274" t="inlineStr">
        <is>
          <t>A003</t>
        </is>
      </c>
      <c r="F274" t="inlineStr">
        <is>
          <t>Faculty</t>
        </is>
      </c>
      <c r="G274" t="inlineStr">
        <is>
          <t>ED</t>
        </is>
      </c>
      <c r="H274" t="inlineStr">
        <is>
          <t>CaseG</t>
        </is>
      </c>
      <c r="I274" s="3" t="inlineStr">
        <is>
          <t>Clear structure and communication.</t>
        </is>
      </c>
      <c r="J274" s="3" t="inlineStr">
        <is>
          <t>Be more concise and state the plan earlier.</t>
        </is>
      </c>
      <c r="K274" t="n">
        <v>0</v>
      </c>
    </row>
    <row r="275">
      <c r="A275" t="inlineStr">
        <is>
          <t>L023</t>
        </is>
      </c>
      <c r="B275" s="6" t="n">
        <v>46030</v>
      </c>
      <c r="C275" t="inlineStr">
        <is>
          <t>EPA08</t>
        </is>
      </c>
      <c r="D275" t="n">
        <v>4</v>
      </c>
      <c r="E275" t="inlineStr">
        <is>
          <t>A007</t>
        </is>
      </c>
      <c r="F275" t="inlineStr">
        <is>
          <t>Faculty</t>
        </is>
      </c>
      <c r="G275" t="inlineStr">
        <is>
          <t>OPD</t>
        </is>
      </c>
      <c r="H275" t="inlineStr">
        <is>
          <t>CaseF</t>
        </is>
      </c>
      <c r="I275" s="3" t="n"/>
      <c r="J275" s="3" t="n"/>
      <c r="K275" t="n">
        <v>0</v>
      </c>
    </row>
    <row r="276">
      <c r="A276" t="inlineStr">
        <is>
          <t>L021</t>
        </is>
      </c>
      <c r="B276" s="6" t="n">
        <v>46061</v>
      </c>
      <c r="C276" t="inlineStr">
        <is>
          <t>EPA07</t>
        </is>
      </c>
      <c r="D276" t="n">
        <v>3</v>
      </c>
      <c r="E276" t="inlineStr">
        <is>
          <t>A004</t>
        </is>
      </c>
      <c r="F276" t="inlineStr">
        <is>
          <t>Faculty</t>
        </is>
      </c>
      <c r="G276" t="inlineStr">
        <is>
          <t>ED</t>
        </is>
      </c>
      <c r="H276" t="inlineStr">
        <is>
          <t>CaseC</t>
        </is>
      </c>
      <c r="I276" s="3" t="inlineStr">
        <is>
          <t>Effective teamwork and closed-loop communication.</t>
        </is>
      </c>
      <c r="J276" s="3" t="inlineStr">
        <is>
          <t>Be more concise and state the plan earlier.</t>
        </is>
      </c>
      <c r="K276" t="n">
        <v>0</v>
      </c>
    </row>
    <row r="277">
      <c r="A277" t="inlineStr">
        <is>
          <t>L007</t>
        </is>
      </c>
      <c r="B277" s="6" t="n">
        <v>45949</v>
      </c>
      <c r="C277" t="inlineStr">
        <is>
          <t>EPA03</t>
        </is>
      </c>
      <c r="D277" t="n">
        <v>4</v>
      </c>
      <c r="E277" t="inlineStr">
        <is>
          <t>A001</t>
        </is>
      </c>
      <c r="F277" t="inlineStr">
        <is>
          <t>Faculty</t>
        </is>
      </c>
      <c r="G277" t="inlineStr">
        <is>
          <t>OR</t>
        </is>
      </c>
      <c r="H277" t="inlineStr">
        <is>
          <t>CaseA</t>
        </is>
      </c>
      <c r="I277" s="3" t="n"/>
      <c r="J277" s="3" t="n"/>
      <c r="K277" t="n">
        <v>0</v>
      </c>
    </row>
    <row r="278">
      <c r="A278" t="inlineStr">
        <is>
          <t>L020</t>
        </is>
      </c>
      <c r="B278" s="6" t="n">
        <v>45999</v>
      </c>
      <c r="C278" t="inlineStr">
        <is>
          <t>EPA04</t>
        </is>
      </c>
      <c r="D278" t="n">
        <v>4</v>
      </c>
      <c r="E278" t="inlineStr">
        <is>
          <t>A008</t>
        </is>
      </c>
      <c r="F278" t="inlineStr">
        <is>
          <t>AlliedHealth</t>
        </is>
      </c>
      <c r="G278" t="inlineStr">
        <is>
          <t>Sim</t>
        </is>
      </c>
      <c r="H278" t="inlineStr">
        <is>
          <t>CaseD</t>
        </is>
      </c>
      <c r="I278" s="3" t="n"/>
      <c r="J278" s="3" t="n"/>
      <c r="K278" t="n">
        <v>0</v>
      </c>
    </row>
    <row r="279">
      <c r="A279" t="inlineStr">
        <is>
          <t>L017</t>
        </is>
      </c>
      <c r="B279" s="6" t="n">
        <v>46032</v>
      </c>
      <c r="C279" t="inlineStr">
        <is>
          <t>EPA10</t>
        </is>
      </c>
      <c r="D279" t="n">
        <v>4</v>
      </c>
      <c r="E279" t="inlineStr">
        <is>
          <t>A008</t>
        </is>
      </c>
      <c r="F279" t="inlineStr">
        <is>
          <t>AlliedHealth</t>
        </is>
      </c>
      <c r="G279" t="inlineStr">
        <is>
          <t>ED</t>
        </is>
      </c>
      <c r="H279" t="inlineStr">
        <is>
          <t>CaseE</t>
        </is>
      </c>
      <c r="I279" s="3" t="inlineStr">
        <is>
          <t>Appropriate prioritization and plan articulation.</t>
        </is>
      </c>
      <c r="J279" s="3" t="inlineStr">
        <is>
          <t>Be more concise and state the plan earlier.</t>
        </is>
      </c>
      <c r="K279" t="n">
        <v>0</v>
      </c>
    </row>
    <row r="280">
      <c r="A280" t="inlineStr">
        <is>
          <t>L014</t>
        </is>
      </c>
      <c r="B280" s="6" t="n">
        <v>45966</v>
      </c>
      <c r="C280" t="inlineStr">
        <is>
          <t>EPA05</t>
        </is>
      </c>
      <c r="D280" t="n">
        <v>4</v>
      </c>
      <c r="E280" t="inlineStr">
        <is>
          <t>A012</t>
        </is>
      </c>
      <c r="F280" t="inlineStr">
        <is>
          <t>Faculty</t>
        </is>
      </c>
      <c r="G280" t="inlineStr">
        <is>
          <t>OPD</t>
        </is>
      </c>
      <c r="H280" t="inlineStr">
        <is>
          <t>CaseG</t>
        </is>
      </c>
      <c r="I280" s="3" t="inlineStr">
        <is>
          <t>Professional and patient-centered approach.</t>
        </is>
      </c>
      <c r="J280" s="3" t="inlineStr">
        <is>
          <t>Broaden the differential diagnosis and justify choices.</t>
        </is>
      </c>
      <c r="K280" t="n">
        <v>0</v>
      </c>
    </row>
    <row r="281">
      <c r="A281" t="inlineStr">
        <is>
          <t>L011</t>
        </is>
      </c>
      <c r="B281" s="6" t="n">
        <v>45975</v>
      </c>
      <c r="C281" t="inlineStr">
        <is>
          <t>EPA02</t>
        </is>
      </c>
      <c r="D281" t="n">
        <v>2</v>
      </c>
      <c r="E281" t="inlineStr">
        <is>
          <t>A015</t>
        </is>
      </c>
      <c r="F281" t="inlineStr">
        <is>
          <t>Faculty</t>
        </is>
      </c>
      <c r="G281" t="inlineStr">
        <is>
          <t>OR</t>
        </is>
      </c>
      <c r="H281" t="inlineStr">
        <is>
          <t>CaseD</t>
        </is>
      </c>
      <c r="I281" s="3" t="n"/>
      <c r="J281" s="3" t="n"/>
      <c r="K281" t="n">
        <v>0</v>
      </c>
    </row>
    <row r="282">
      <c r="A282" t="inlineStr">
        <is>
          <t>L009</t>
        </is>
      </c>
      <c r="B282" s="6" t="n">
        <v>45977</v>
      </c>
      <c r="C282" t="inlineStr">
        <is>
          <t>EPA12</t>
        </is>
      </c>
      <c r="D282" t="n">
        <v>5</v>
      </c>
      <c r="E282" t="inlineStr">
        <is>
          <t>A011</t>
        </is>
      </c>
      <c r="F282" t="inlineStr">
        <is>
          <t>Nurse</t>
        </is>
      </c>
      <c r="G282" t="inlineStr">
        <is>
          <t>Sim</t>
        </is>
      </c>
      <c r="H282" t="inlineStr">
        <is>
          <t>CaseE</t>
        </is>
      </c>
      <c r="I282" s="3" t="n"/>
      <c r="J282" s="3" t="n"/>
      <c r="K282" t="n">
        <v>0</v>
      </c>
    </row>
    <row r="283">
      <c r="A283" t="inlineStr">
        <is>
          <t>L021</t>
        </is>
      </c>
      <c r="B283" s="6" t="n">
        <v>45959</v>
      </c>
      <c r="C283" t="inlineStr">
        <is>
          <t>EPA05</t>
        </is>
      </c>
      <c r="D283" t="n">
        <v>4</v>
      </c>
      <c r="E283" t="inlineStr">
        <is>
          <t>A001</t>
        </is>
      </c>
      <c r="F283" t="inlineStr">
        <is>
          <t>Faculty</t>
        </is>
      </c>
      <c r="G283" t="inlineStr">
        <is>
          <t>ICU</t>
        </is>
      </c>
      <c r="H283" t="inlineStr">
        <is>
          <t>CaseF</t>
        </is>
      </c>
      <c r="I283" s="3" t="inlineStr">
        <is>
          <t>Effective teamwork and closed-loop communication.</t>
        </is>
      </c>
      <c r="J283" s="3" t="inlineStr">
        <is>
          <t>Increase efficiency while maintaining safety checks.</t>
        </is>
      </c>
      <c r="K283" t="n">
        <v>0</v>
      </c>
    </row>
    <row r="284">
      <c r="A284" t="inlineStr">
        <is>
          <t>L015</t>
        </is>
      </c>
      <c r="B284" s="6" t="n">
        <v>45919</v>
      </c>
      <c r="C284" t="inlineStr">
        <is>
          <t>EPA05</t>
        </is>
      </c>
      <c r="D284" t="n">
        <v>4</v>
      </c>
      <c r="E284" t="inlineStr">
        <is>
          <t>A013</t>
        </is>
      </c>
      <c r="F284" t="inlineStr">
        <is>
          <t>Nurse</t>
        </is>
      </c>
      <c r="G284" t="inlineStr">
        <is>
          <t>OR</t>
        </is>
      </c>
      <c r="H284" t="inlineStr">
        <is>
          <t>CaseB</t>
        </is>
      </c>
      <c r="I284" s="3" t="n"/>
      <c r="J284" s="3" t="n"/>
      <c r="K284" t="n">
        <v>0</v>
      </c>
    </row>
    <row r="285">
      <c r="A285" t="inlineStr">
        <is>
          <t>L010</t>
        </is>
      </c>
      <c r="B285" s="6" t="n">
        <v>45961</v>
      </c>
      <c r="C285" t="inlineStr">
        <is>
          <t>EPA11</t>
        </is>
      </c>
      <c r="D285" t="n">
        <v>4</v>
      </c>
      <c r="E285" t="inlineStr">
        <is>
          <t>A003</t>
        </is>
      </c>
      <c r="F285" t="inlineStr">
        <is>
          <t>Faculty</t>
        </is>
      </c>
      <c r="G285" t="inlineStr">
        <is>
          <t>ICU</t>
        </is>
      </c>
      <c r="H285" t="inlineStr">
        <is>
          <t>CaseE</t>
        </is>
      </c>
      <c r="I285" s="3" t="inlineStr">
        <is>
          <t>Professional and patient-centered approach.</t>
        </is>
      </c>
      <c r="J285" s="3" t="inlineStr">
        <is>
          <t>Increase efficiency while maintaining safety checks.</t>
        </is>
      </c>
      <c r="K285" t="n">
        <v>0</v>
      </c>
    </row>
    <row r="286">
      <c r="A286" t="inlineStr">
        <is>
          <t>L010</t>
        </is>
      </c>
      <c r="B286" s="6" t="n">
        <v>45899</v>
      </c>
      <c r="C286" t="inlineStr">
        <is>
          <t>EPA06</t>
        </is>
      </c>
      <c r="D286" t="n">
        <v>3</v>
      </c>
      <c r="E286" t="inlineStr">
        <is>
          <t>A010</t>
        </is>
      </c>
      <c r="F286" t="inlineStr">
        <is>
          <t>Faculty</t>
        </is>
      </c>
      <c r="G286" t="inlineStr">
        <is>
          <t>ICU</t>
        </is>
      </c>
      <c r="H286" t="inlineStr">
        <is>
          <t>CaseB</t>
        </is>
      </c>
      <c r="I286" s="3" t="inlineStr">
        <is>
          <t>Clear structure and communication.</t>
        </is>
      </c>
      <c r="J286" s="3" t="inlineStr">
        <is>
          <t>Clarify escalation criteria and communicate proactively.</t>
        </is>
      </c>
      <c r="K286" t="n">
        <v>0</v>
      </c>
    </row>
    <row r="287">
      <c r="A287" t="inlineStr">
        <is>
          <t>L006</t>
        </is>
      </c>
      <c r="B287" s="6" t="n">
        <v>45947</v>
      </c>
      <c r="C287" t="inlineStr">
        <is>
          <t>EPA04</t>
        </is>
      </c>
      <c r="D287" t="n">
        <v>4</v>
      </c>
      <c r="E287" t="inlineStr">
        <is>
          <t>A010</t>
        </is>
      </c>
      <c r="F287" t="inlineStr">
        <is>
          <t>Faculty</t>
        </is>
      </c>
      <c r="G287" t="inlineStr">
        <is>
          <t>OPD</t>
        </is>
      </c>
      <c r="H287" t="inlineStr">
        <is>
          <t>CaseG</t>
        </is>
      </c>
      <c r="I287" s="3" t="inlineStr">
        <is>
          <t>Appropriate prioritization and plan articulation.</t>
        </is>
      </c>
      <c r="J287" s="3" t="inlineStr">
        <is>
          <t>Clarify escalation criteria and communicate proactively.</t>
        </is>
      </c>
      <c r="K287" t="n">
        <v>0</v>
      </c>
    </row>
    <row r="288">
      <c r="A288" t="inlineStr">
        <is>
          <t>L015</t>
        </is>
      </c>
      <c r="B288" s="6" t="n">
        <v>45973</v>
      </c>
      <c r="C288" t="inlineStr">
        <is>
          <t>EPA10</t>
        </is>
      </c>
      <c r="D288" t="n">
        <v>4</v>
      </c>
      <c r="E288" t="inlineStr">
        <is>
          <t>A008</t>
        </is>
      </c>
      <c r="F288" t="inlineStr">
        <is>
          <t>AlliedHealth</t>
        </is>
      </c>
      <c r="G288" t="inlineStr">
        <is>
          <t>OPD</t>
        </is>
      </c>
      <c r="H288" t="inlineStr">
        <is>
          <t>CaseF</t>
        </is>
      </c>
      <c r="I288" s="3" t="inlineStr">
        <is>
          <t>Good clinical reasoning with key findings identified.</t>
        </is>
      </c>
      <c r="J288" s="3" t="inlineStr">
        <is>
          <t>Clarify escalation criteria and communicate proactively.</t>
        </is>
      </c>
      <c r="K288" t="n">
        <v>0</v>
      </c>
    </row>
    <row r="289">
      <c r="A289" t="inlineStr">
        <is>
          <t>L021</t>
        </is>
      </c>
      <c r="B289" s="6" t="n">
        <v>45998</v>
      </c>
      <c r="C289" t="inlineStr">
        <is>
          <t>EPA05</t>
        </is>
      </c>
      <c r="D289" t="n">
        <v>3</v>
      </c>
      <c r="E289" t="inlineStr">
        <is>
          <t>A015</t>
        </is>
      </c>
      <c r="F289" t="inlineStr">
        <is>
          <t>Faculty</t>
        </is>
      </c>
      <c r="G289" t="inlineStr">
        <is>
          <t>OPD</t>
        </is>
      </c>
      <c r="H289" t="inlineStr">
        <is>
          <t>CaseF</t>
        </is>
      </c>
      <c r="I289" s="3" t="inlineStr">
        <is>
          <t>Clear structure and communication.</t>
        </is>
      </c>
      <c r="J289" s="3" t="n"/>
      <c r="K289" t="n">
        <v>0</v>
      </c>
    </row>
    <row r="290">
      <c r="A290" t="inlineStr">
        <is>
          <t>L002</t>
        </is>
      </c>
      <c r="B290" s="6" t="n">
        <v>45910</v>
      </c>
      <c r="C290" t="inlineStr">
        <is>
          <t>EPA10</t>
        </is>
      </c>
      <c r="D290" t="n">
        <v>5</v>
      </c>
      <c r="E290" t="inlineStr">
        <is>
          <t>A007</t>
        </is>
      </c>
      <c r="F290" t="inlineStr">
        <is>
          <t>Faculty</t>
        </is>
      </c>
      <c r="G290" t="inlineStr">
        <is>
          <t>Sim</t>
        </is>
      </c>
      <c r="H290" t="inlineStr">
        <is>
          <t>CaseD</t>
        </is>
      </c>
      <c r="I290" s="3" t="inlineStr">
        <is>
          <t>Appropriate prioritization and plan articulation.</t>
        </is>
      </c>
      <c r="J290" s="3" t="inlineStr">
        <is>
          <t>Broaden the differential diagnosis and justify choices.</t>
        </is>
      </c>
      <c r="K290" t="n">
        <v>0</v>
      </c>
    </row>
    <row r="291">
      <c r="A291" t="inlineStr">
        <is>
          <t>L003</t>
        </is>
      </c>
      <c r="B291" s="6" t="n">
        <v>46023</v>
      </c>
      <c r="C291" t="inlineStr">
        <is>
          <t>EPA10</t>
        </is>
      </c>
      <c r="D291" t="n">
        <v>4</v>
      </c>
      <c r="E291" t="inlineStr">
        <is>
          <t>A008</t>
        </is>
      </c>
      <c r="F291" t="inlineStr">
        <is>
          <t>AlliedHealth</t>
        </is>
      </c>
      <c r="G291" t="inlineStr">
        <is>
          <t>Ward</t>
        </is>
      </c>
      <c r="H291" t="inlineStr">
        <is>
          <t>CaseE</t>
        </is>
      </c>
      <c r="I291" s="3" t="n"/>
      <c r="J291" s="3" t="n"/>
      <c r="K291" t="n">
        <v>0</v>
      </c>
    </row>
    <row r="292">
      <c r="A292" t="inlineStr">
        <is>
          <t>L003</t>
        </is>
      </c>
      <c r="B292" s="6" t="n">
        <v>45958</v>
      </c>
      <c r="C292" t="inlineStr">
        <is>
          <t>EPA06</t>
        </is>
      </c>
      <c r="D292" t="n">
        <v>2</v>
      </c>
      <c r="E292" t="inlineStr">
        <is>
          <t>A006</t>
        </is>
      </c>
      <c r="F292" t="inlineStr">
        <is>
          <t>Faculty</t>
        </is>
      </c>
      <c r="G292" t="inlineStr">
        <is>
          <t>OPD</t>
        </is>
      </c>
      <c r="H292" t="inlineStr">
        <is>
          <t>CaseA</t>
        </is>
      </c>
      <c r="I292" s="3" t="inlineStr">
        <is>
          <t>Effective teamwork and closed-loop communication.</t>
        </is>
      </c>
      <c r="J292" s="3" t="inlineStr">
        <is>
          <t>Increase efficiency while maintaining safety checks.</t>
        </is>
      </c>
      <c r="K292" t="n">
        <v>0</v>
      </c>
    </row>
    <row r="293">
      <c r="A293" t="inlineStr">
        <is>
          <t>L016</t>
        </is>
      </c>
      <c r="B293" s="6" t="n">
        <v>45984</v>
      </c>
      <c r="C293" t="inlineStr">
        <is>
          <t>EPA08</t>
        </is>
      </c>
      <c r="D293" t="n">
        <v>3</v>
      </c>
      <c r="E293" t="inlineStr">
        <is>
          <t>A006</t>
        </is>
      </c>
      <c r="F293" t="inlineStr">
        <is>
          <t>Faculty</t>
        </is>
      </c>
      <c r="G293" t="inlineStr">
        <is>
          <t>Ward</t>
        </is>
      </c>
      <c r="H293" t="inlineStr">
        <is>
          <t>CaseD</t>
        </is>
      </c>
      <c r="I293" s="3" t="n"/>
      <c r="J293" s="3" t="n"/>
      <c r="K293" t="n">
        <v>0</v>
      </c>
    </row>
    <row r="294">
      <c r="A294" t="inlineStr">
        <is>
          <t>L008</t>
        </is>
      </c>
      <c r="B294" s="6" t="n">
        <v>45903</v>
      </c>
      <c r="C294" t="inlineStr">
        <is>
          <t>EPA12</t>
        </is>
      </c>
      <c r="D294" t="n">
        <v>5</v>
      </c>
      <c r="E294" t="inlineStr">
        <is>
          <t>A001</t>
        </is>
      </c>
      <c r="F294" t="inlineStr">
        <is>
          <t>Faculty</t>
        </is>
      </c>
      <c r="G294" t="inlineStr">
        <is>
          <t>ICU</t>
        </is>
      </c>
      <c r="H294" t="inlineStr">
        <is>
          <t>CaseB</t>
        </is>
      </c>
      <c r="I294" s="3" t="inlineStr">
        <is>
          <t>Effective teamwork and closed-loop communication.</t>
        </is>
      </c>
      <c r="J294" s="3" t="inlineStr">
        <is>
          <t>Broaden the differential diagnosis and justify choices.</t>
        </is>
      </c>
      <c r="K294" t="n">
        <v>0</v>
      </c>
    </row>
    <row r="295">
      <c r="A295" t="inlineStr">
        <is>
          <t>L016</t>
        </is>
      </c>
      <c r="B295" s="6" t="n">
        <v>45900</v>
      </c>
      <c r="C295" t="inlineStr">
        <is>
          <t>EPA10</t>
        </is>
      </c>
      <c r="D295" t="n">
        <v>4</v>
      </c>
      <c r="E295" t="inlineStr">
        <is>
          <t>A013</t>
        </is>
      </c>
      <c r="F295" t="inlineStr">
        <is>
          <t>Nurse</t>
        </is>
      </c>
      <c r="G295" t="inlineStr">
        <is>
          <t>ED</t>
        </is>
      </c>
      <c r="H295" t="inlineStr">
        <is>
          <t>CaseC</t>
        </is>
      </c>
      <c r="I295" s="3" t="n"/>
      <c r="J295" s="3" t="n"/>
      <c r="K295" t="n">
        <v>0</v>
      </c>
    </row>
    <row r="296">
      <c r="A296" t="inlineStr">
        <is>
          <t>L022</t>
        </is>
      </c>
      <c r="B296" s="6" t="n">
        <v>46016</v>
      </c>
      <c r="C296" t="inlineStr">
        <is>
          <t>EPA03</t>
        </is>
      </c>
      <c r="D296" t="n">
        <v>3</v>
      </c>
      <c r="E296" t="inlineStr">
        <is>
          <t>A004</t>
        </is>
      </c>
      <c r="F296" t="inlineStr">
        <is>
          <t>Faculty</t>
        </is>
      </c>
      <c r="G296" t="inlineStr">
        <is>
          <t>OPD</t>
        </is>
      </c>
      <c r="H296" t="inlineStr">
        <is>
          <t>CaseD</t>
        </is>
      </c>
      <c r="I296" s="3" t="inlineStr">
        <is>
          <t>Appropriate prioritization and plan articulation.</t>
        </is>
      </c>
      <c r="J296" s="3" t="inlineStr">
        <is>
          <t>Increase efficiency while maintaining safety checks.</t>
        </is>
      </c>
      <c r="K296" t="n">
        <v>0</v>
      </c>
    </row>
    <row r="297">
      <c r="A297" t="inlineStr">
        <is>
          <t>L012</t>
        </is>
      </c>
      <c r="B297" s="6" t="n">
        <v>45964</v>
      </c>
      <c r="C297" t="inlineStr">
        <is>
          <t>EPA04</t>
        </is>
      </c>
      <c r="D297" t="n">
        <v>4</v>
      </c>
      <c r="E297" t="inlineStr">
        <is>
          <t>A010</t>
        </is>
      </c>
      <c r="F297" t="inlineStr">
        <is>
          <t>Faculty</t>
        </is>
      </c>
      <c r="G297" t="inlineStr">
        <is>
          <t>OR</t>
        </is>
      </c>
      <c r="H297" t="inlineStr">
        <is>
          <t>CaseD</t>
        </is>
      </c>
      <c r="I297" s="3" t="inlineStr">
        <is>
          <t>Effective teamwork and closed-loop communication.</t>
        </is>
      </c>
      <c r="J297" s="3" t="inlineStr">
        <is>
          <t>Clarify escalation criteria and communicate proactively.</t>
        </is>
      </c>
      <c r="K297" t="n">
        <v>0</v>
      </c>
    </row>
    <row r="298">
      <c r="A298" t="inlineStr">
        <is>
          <t>L021</t>
        </is>
      </c>
      <c r="B298" s="6" t="n">
        <v>45963</v>
      </c>
      <c r="C298" t="inlineStr">
        <is>
          <t>EPA11</t>
        </is>
      </c>
      <c r="D298" t="n">
        <v>4</v>
      </c>
      <c r="E298" t="inlineStr">
        <is>
          <t>A010</t>
        </is>
      </c>
      <c r="F298" t="inlineStr">
        <is>
          <t>Faculty</t>
        </is>
      </c>
      <c r="G298" t="inlineStr">
        <is>
          <t>Sim</t>
        </is>
      </c>
      <c r="H298" t="inlineStr">
        <is>
          <t>CaseE</t>
        </is>
      </c>
      <c r="I298" s="3" t="inlineStr">
        <is>
          <t>Clear structure and communication.</t>
        </is>
      </c>
      <c r="J298" s="3" t="n"/>
      <c r="K298" t="n">
        <v>0</v>
      </c>
    </row>
    <row r="299">
      <c r="A299" t="inlineStr">
        <is>
          <t>L011</t>
        </is>
      </c>
      <c r="B299" s="6" t="n">
        <v>45938</v>
      </c>
      <c r="C299" t="inlineStr">
        <is>
          <t>EPA01</t>
        </is>
      </c>
      <c r="D299" t="n">
        <v>3</v>
      </c>
      <c r="E299" t="inlineStr">
        <is>
          <t>A006</t>
        </is>
      </c>
      <c r="F299" t="inlineStr">
        <is>
          <t>Faculty</t>
        </is>
      </c>
      <c r="G299" t="inlineStr">
        <is>
          <t>ED</t>
        </is>
      </c>
      <c r="H299" t="inlineStr">
        <is>
          <t>CaseA</t>
        </is>
      </c>
      <c r="I299" s="3" t="inlineStr">
        <is>
          <t>Clear structure and communication.</t>
        </is>
      </c>
      <c r="J299" s="3" t="inlineStr">
        <is>
          <t>Be more concise and state the plan earlier.</t>
        </is>
      </c>
      <c r="K299" t="n">
        <v>0</v>
      </c>
    </row>
    <row r="300">
      <c r="A300" t="inlineStr">
        <is>
          <t>L006</t>
        </is>
      </c>
      <c r="B300" s="6" t="n">
        <v>45953</v>
      </c>
      <c r="C300" t="inlineStr">
        <is>
          <t>EPA11</t>
        </is>
      </c>
      <c r="D300" t="n">
        <v>3</v>
      </c>
      <c r="E300" t="inlineStr">
        <is>
          <t>A002</t>
        </is>
      </c>
      <c r="F300" t="inlineStr">
        <is>
          <t>Faculty</t>
        </is>
      </c>
      <c r="G300" t="inlineStr">
        <is>
          <t>OPD</t>
        </is>
      </c>
      <c r="H300" t="inlineStr">
        <is>
          <t>CaseD</t>
        </is>
      </c>
      <c r="I300" s="3" t="inlineStr">
        <is>
          <t>Good clinical reasoning with key findings identified.</t>
        </is>
      </c>
      <c r="J300" s="3" t="inlineStr">
        <is>
          <t>Broaden the differential diagnosis and justify choices.</t>
        </is>
      </c>
      <c r="K300" t="n">
        <v>0</v>
      </c>
    </row>
    <row r="301">
      <c r="A301" t="inlineStr">
        <is>
          <t>L012</t>
        </is>
      </c>
      <c r="B301" s="6" t="n">
        <v>45929</v>
      </c>
      <c r="C301" t="inlineStr">
        <is>
          <t>EPA07</t>
        </is>
      </c>
      <c r="D301" t="n">
        <v>3</v>
      </c>
      <c r="E301" t="inlineStr">
        <is>
          <t>A014</t>
        </is>
      </c>
      <c r="F301" t="inlineStr">
        <is>
          <t>Faculty</t>
        </is>
      </c>
      <c r="G301" t="inlineStr">
        <is>
          <t>OR</t>
        </is>
      </c>
      <c r="H301" t="inlineStr">
        <is>
          <t>CaseC</t>
        </is>
      </c>
      <c r="I301" s="3" t="inlineStr">
        <is>
          <t>Good clinical reasoning with key findings identified.</t>
        </is>
      </c>
      <c r="J301" s="3" t="inlineStr">
        <is>
          <t>Broaden the differential diagnosis and justify choices.</t>
        </is>
      </c>
      <c r="K301" t="n">
        <v>0</v>
      </c>
    </row>
    <row r="302">
      <c r="A302" t="inlineStr">
        <is>
          <t>L016</t>
        </is>
      </c>
      <c r="B302" s="6" t="n">
        <v>45955</v>
      </c>
      <c r="C302" t="inlineStr">
        <is>
          <t>EPA05</t>
        </is>
      </c>
      <c r="D302" t="n">
        <v>4</v>
      </c>
      <c r="E302" t="inlineStr">
        <is>
          <t>A013</t>
        </is>
      </c>
      <c r="F302" t="inlineStr">
        <is>
          <t>Nurse</t>
        </is>
      </c>
      <c r="G302" t="inlineStr">
        <is>
          <t>Sim</t>
        </is>
      </c>
      <c r="H302" t="inlineStr">
        <is>
          <t>CaseE</t>
        </is>
      </c>
      <c r="I302" s="3" t="inlineStr">
        <is>
          <t>Effective teamwork and closed-loop communication.</t>
        </is>
      </c>
      <c r="J302" s="3" t="inlineStr">
        <is>
          <t>Clarify escalation criteria and communicate proactively.</t>
        </is>
      </c>
      <c r="K302" t="n">
        <v>0</v>
      </c>
    </row>
    <row r="303">
      <c r="A303" t="inlineStr">
        <is>
          <t>L010</t>
        </is>
      </c>
      <c r="B303" s="6" t="n">
        <v>45908</v>
      </c>
      <c r="C303" t="inlineStr">
        <is>
          <t>EPA06</t>
        </is>
      </c>
      <c r="D303" t="n">
        <v>2</v>
      </c>
      <c r="E303" t="inlineStr">
        <is>
          <t>A007</t>
        </is>
      </c>
      <c r="F303" t="inlineStr">
        <is>
          <t>Faculty</t>
        </is>
      </c>
      <c r="G303" t="inlineStr">
        <is>
          <t>Sim</t>
        </is>
      </c>
      <c r="H303" t="inlineStr">
        <is>
          <t>CaseA</t>
        </is>
      </c>
      <c r="I303" s="3" t="inlineStr">
        <is>
          <t>Good clinical reasoning with key findings identified.</t>
        </is>
      </c>
      <c r="J303" s="3" t="inlineStr">
        <is>
          <t>Be more concise and state the plan earlier.</t>
        </is>
      </c>
      <c r="K303" t="n">
        <v>0</v>
      </c>
    </row>
    <row r="304">
      <c r="A304" t="inlineStr">
        <is>
          <t>L007</t>
        </is>
      </c>
      <c r="B304" s="6" t="n">
        <v>46005</v>
      </c>
      <c r="C304" t="inlineStr">
        <is>
          <t>EPA11</t>
        </is>
      </c>
      <c r="D304" t="n">
        <v>3</v>
      </c>
      <c r="E304" t="inlineStr">
        <is>
          <t>A008</t>
        </is>
      </c>
      <c r="F304" t="inlineStr">
        <is>
          <t>AlliedHealth</t>
        </is>
      </c>
      <c r="G304" t="inlineStr">
        <is>
          <t>Ward</t>
        </is>
      </c>
      <c r="H304" t="inlineStr">
        <is>
          <t>CaseE</t>
        </is>
      </c>
      <c r="I304" s="3" t="inlineStr">
        <is>
          <t>Effective teamwork and closed-loop communication.</t>
        </is>
      </c>
      <c r="J304" s="3" t="inlineStr">
        <is>
          <t>Broaden the differential diagnosis and justify choices.</t>
        </is>
      </c>
      <c r="K304" t="n">
        <v>0</v>
      </c>
    </row>
    <row r="305">
      <c r="A305" t="inlineStr">
        <is>
          <t>L019</t>
        </is>
      </c>
      <c r="B305" s="6" t="n">
        <v>46045</v>
      </c>
      <c r="C305" t="inlineStr">
        <is>
          <t>EPA03</t>
        </is>
      </c>
      <c r="D305" t="n">
        <v>4</v>
      </c>
      <c r="E305" t="inlineStr">
        <is>
          <t>A001</t>
        </is>
      </c>
      <c r="F305" t="inlineStr">
        <is>
          <t>Faculty</t>
        </is>
      </c>
      <c r="G305" t="inlineStr">
        <is>
          <t>ED</t>
        </is>
      </c>
      <c r="H305" t="inlineStr">
        <is>
          <t>CaseA</t>
        </is>
      </c>
      <c r="I305" s="3" t="inlineStr">
        <is>
          <t>Professional and patient-centered approach.</t>
        </is>
      </c>
      <c r="J305" s="3" t="inlineStr">
        <is>
          <t>Broaden the differential diagnosis and justify choices.</t>
        </is>
      </c>
      <c r="K305" t="n">
        <v>0</v>
      </c>
    </row>
    <row r="306">
      <c r="A306" t="inlineStr">
        <is>
          <t>L010</t>
        </is>
      </c>
      <c r="B306" s="6" t="n">
        <v>46038</v>
      </c>
      <c r="C306" t="inlineStr">
        <is>
          <t>EPA05</t>
        </is>
      </c>
      <c r="D306" t="n">
        <v>4</v>
      </c>
      <c r="E306" t="inlineStr">
        <is>
          <t>A007</t>
        </is>
      </c>
      <c r="F306" t="inlineStr">
        <is>
          <t>Faculty</t>
        </is>
      </c>
      <c r="G306" t="inlineStr">
        <is>
          <t>ICU</t>
        </is>
      </c>
      <c r="H306" t="inlineStr">
        <is>
          <t>CaseG</t>
        </is>
      </c>
      <c r="I306" s="3" t="n"/>
      <c r="J306" s="3" t="n"/>
      <c r="K306" t="n">
        <v>0</v>
      </c>
    </row>
    <row r="307">
      <c r="A307" t="inlineStr">
        <is>
          <t>L020</t>
        </is>
      </c>
      <c r="B307" s="6" t="n">
        <v>45943</v>
      </c>
      <c r="C307" t="inlineStr">
        <is>
          <t>EPA05</t>
        </is>
      </c>
      <c r="D307" t="n">
        <v>3</v>
      </c>
      <c r="E307" t="inlineStr">
        <is>
          <t>A007</t>
        </is>
      </c>
      <c r="F307" t="inlineStr">
        <is>
          <t>Faculty</t>
        </is>
      </c>
      <c r="G307" t="inlineStr">
        <is>
          <t>Ward</t>
        </is>
      </c>
      <c r="H307" t="inlineStr">
        <is>
          <t>CaseC</t>
        </is>
      </c>
      <c r="I307" s="3" t="n"/>
      <c r="J307" s="3" t="n"/>
      <c r="K307" t="n">
        <v>0</v>
      </c>
    </row>
    <row r="308">
      <c r="A308" t="inlineStr">
        <is>
          <t>L011</t>
        </is>
      </c>
      <c r="B308" s="6" t="n">
        <v>45973</v>
      </c>
      <c r="C308" t="inlineStr">
        <is>
          <t>EPA12</t>
        </is>
      </c>
      <c r="D308" t="n">
        <v>4</v>
      </c>
      <c r="E308" t="inlineStr">
        <is>
          <t>A014</t>
        </is>
      </c>
      <c r="F308" t="inlineStr">
        <is>
          <t>Faculty</t>
        </is>
      </c>
      <c r="G308" t="inlineStr">
        <is>
          <t>OPD</t>
        </is>
      </c>
      <c r="H308" t="inlineStr">
        <is>
          <t>CaseF</t>
        </is>
      </c>
      <c r="I308" s="3" t="inlineStr">
        <is>
          <t>Appropriate prioritization and plan articulation.</t>
        </is>
      </c>
      <c r="J308" s="3" t="inlineStr">
        <is>
          <t>Document key times and decisions more clearly.</t>
        </is>
      </c>
      <c r="K308" t="n">
        <v>0</v>
      </c>
    </row>
    <row r="309">
      <c r="A309" t="inlineStr">
        <is>
          <t>L005</t>
        </is>
      </c>
      <c r="B309" s="6" t="n">
        <v>45925</v>
      </c>
      <c r="C309" t="inlineStr">
        <is>
          <t>EPA11</t>
        </is>
      </c>
      <c r="D309" t="n">
        <v>4</v>
      </c>
      <c r="E309" t="inlineStr">
        <is>
          <t>A007</t>
        </is>
      </c>
      <c r="F309" t="inlineStr">
        <is>
          <t>Faculty</t>
        </is>
      </c>
      <c r="G309" t="inlineStr">
        <is>
          <t>OPD</t>
        </is>
      </c>
      <c r="H309" t="inlineStr">
        <is>
          <t>CaseB</t>
        </is>
      </c>
      <c r="I309" s="3" t="inlineStr">
        <is>
          <t>Appropriate prioritization and plan articulation.</t>
        </is>
      </c>
      <c r="J309" s="3" t="inlineStr">
        <is>
          <t>Document key times and decisions more clearly.</t>
        </is>
      </c>
      <c r="K309" t="n">
        <v>0</v>
      </c>
    </row>
    <row r="310">
      <c r="A310" t="inlineStr">
        <is>
          <t>L021</t>
        </is>
      </c>
      <c r="B310" s="6" t="n">
        <v>45966</v>
      </c>
      <c r="C310" t="inlineStr">
        <is>
          <t>EPA05</t>
        </is>
      </c>
      <c r="D310" t="n">
        <v>5</v>
      </c>
      <c r="E310" t="inlineStr">
        <is>
          <t>A008</t>
        </is>
      </c>
      <c r="F310" t="inlineStr">
        <is>
          <t>AlliedHealth</t>
        </is>
      </c>
      <c r="G310" t="inlineStr">
        <is>
          <t>Sim</t>
        </is>
      </c>
      <c r="H310" t="inlineStr">
        <is>
          <t>CaseA</t>
        </is>
      </c>
      <c r="I310" s="3" t="inlineStr">
        <is>
          <t>Appropriate prioritization and plan articulation.</t>
        </is>
      </c>
      <c r="J310" s="3" t="inlineStr">
        <is>
          <t>Broaden the differential diagnosis and justify choices.</t>
        </is>
      </c>
      <c r="K310" t="n">
        <v>0</v>
      </c>
    </row>
    <row r="311">
      <c r="A311" t="inlineStr">
        <is>
          <t>L002</t>
        </is>
      </c>
      <c r="B311" s="6" t="n">
        <v>45930</v>
      </c>
      <c r="C311" t="inlineStr">
        <is>
          <t>EPA05</t>
        </is>
      </c>
      <c r="D311" t="n">
        <v>4</v>
      </c>
      <c r="E311" t="inlineStr">
        <is>
          <t>A004</t>
        </is>
      </c>
      <c r="F311" t="inlineStr">
        <is>
          <t>Faculty</t>
        </is>
      </c>
      <c r="G311" t="inlineStr">
        <is>
          <t>ICU</t>
        </is>
      </c>
      <c r="H311" t="inlineStr">
        <is>
          <t>CaseB</t>
        </is>
      </c>
      <c r="I311" s="3" t="inlineStr">
        <is>
          <t>Clear structure and communication.</t>
        </is>
      </c>
      <c r="J311" s="3" t="n"/>
      <c r="K311" t="n">
        <v>0</v>
      </c>
    </row>
    <row r="312">
      <c r="A312" t="inlineStr">
        <is>
          <t>L008</t>
        </is>
      </c>
      <c r="B312" s="6" t="n">
        <v>46040</v>
      </c>
      <c r="C312" t="inlineStr">
        <is>
          <t>EPA01</t>
        </is>
      </c>
      <c r="D312" t="n">
        <v>4</v>
      </c>
      <c r="E312" t="inlineStr">
        <is>
          <t>A003</t>
        </is>
      </c>
      <c r="F312" t="inlineStr">
        <is>
          <t>Faculty</t>
        </is>
      </c>
      <c r="G312" t="inlineStr">
        <is>
          <t>ED</t>
        </is>
      </c>
      <c r="H312" t="inlineStr">
        <is>
          <t>CaseB</t>
        </is>
      </c>
      <c r="I312" s="3" t="n"/>
      <c r="J312" s="3" t="n"/>
      <c r="K312" t="n">
        <v>0</v>
      </c>
    </row>
    <row r="313">
      <c r="A313" t="inlineStr">
        <is>
          <t>L017</t>
        </is>
      </c>
      <c r="B313" s="6" t="n">
        <v>46012</v>
      </c>
      <c r="C313" t="inlineStr">
        <is>
          <t>EPA04</t>
        </is>
      </c>
      <c r="D313" t="n">
        <v>4</v>
      </c>
      <c r="E313" t="inlineStr">
        <is>
          <t>A013</t>
        </is>
      </c>
      <c r="F313" t="inlineStr">
        <is>
          <t>Nurse</t>
        </is>
      </c>
      <c r="G313" t="inlineStr">
        <is>
          <t>Ward</t>
        </is>
      </c>
      <c r="H313" t="inlineStr">
        <is>
          <t>CaseG</t>
        </is>
      </c>
      <c r="I313" s="3" t="inlineStr">
        <is>
          <t>Appropriate prioritization and plan articulation.</t>
        </is>
      </c>
      <c r="J313" s="3" t="inlineStr">
        <is>
          <t>Document key times and decisions more clearly.</t>
        </is>
      </c>
      <c r="K313" t="n">
        <v>0</v>
      </c>
    </row>
    <row r="314">
      <c r="A314" t="inlineStr">
        <is>
          <t>L004</t>
        </is>
      </c>
      <c r="B314" s="6" t="n">
        <v>46002</v>
      </c>
      <c r="C314" t="inlineStr">
        <is>
          <t>EPA06</t>
        </is>
      </c>
      <c r="D314" t="n">
        <v>3</v>
      </c>
      <c r="E314" t="inlineStr">
        <is>
          <t>A004</t>
        </is>
      </c>
      <c r="F314" t="inlineStr">
        <is>
          <t>Faculty</t>
        </is>
      </c>
      <c r="G314" t="inlineStr">
        <is>
          <t>ICU</t>
        </is>
      </c>
      <c r="H314" t="inlineStr">
        <is>
          <t>CaseB</t>
        </is>
      </c>
      <c r="I314" s="3" t="n"/>
      <c r="J314" s="3" t="n"/>
      <c r="K314" t="n">
        <v>0</v>
      </c>
    </row>
    <row r="315">
      <c r="A315" t="inlineStr">
        <is>
          <t>L003</t>
        </is>
      </c>
      <c r="B315" s="6" t="n">
        <v>45937</v>
      </c>
      <c r="C315" t="inlineStr">
        <is>
          <t>EPA07</t>
        </is>
      </c>
      <c r="D315" t="n">
        <v>3</v>
      </c>
      <c r="E315" t="inlineStr">
        <is>
          <t>A004</t>
        </is>
      </c>
      <c r="F315" t="inlineStr">
        <is>
          <t>Faculty</t>
        </is>
      </c>
      <c r="G315" t="inlineStr">
        <is>
          <t>Ward</t>
        </is>
      </c>
      <c r="H315" t="inlineStr">
        <is>
          <t>CaseC</t>
        </is>
      </c>
      <c r="I315" s="3" t="inlineStr">
        <is>
          <t>Effective teamwork and closed-loop communication.</t>
        </is>
      </c>
      <c r="J315" s="3" t="inlineStr">
        <is>
          <t>Broaden the differential diagnosis and justify choices.</t>
        </is>
      </c>
      <c r="K315" t="n">
        <v>0</v>
      </c>
    </row>
    <row r="316">
      <c r="A316" t="inlineStr">
        <is>
          <t>L009</t>
        </is>
      </c>
      <c r="B316" s="6" t="n">
        <v>45935</v>
      </c>
      <c r="C316" t="inlineStr">
        <is>
          <t>EPA12</t>
        </is>
      </c>
      <c r="D316" t="n">
        <v>4</v>
      </c>
      <c r="E316" t="inlineStr">
        <is>
          <t>A011</t>
        </is>
      </c>
      <c r="F316" t="inlineStr">
        <is>
          <t>Nurse</t>
        </is>
      </c>
      <c r="G316" t="inlineStr">
        <is>
          <t>OR</t>
        </is>
      </c>
      <c r="H316" t="inlineStr">
        <is>
          <t>CaseC</t>
        </is>
      </c>
      <c r="I316" s="3" t="inlineStr">
        <is>
          <t>Appropriate prioritization and plan articulation.</t>
        </is>
      </c>
      <c r="J316" s="3" t="n"/>
      <c r="K316" t="n">
        <v>0</v>
      </c>
    </row>
    <row r="317">
      <c r="A317" t="inlineStr">
        <is>
          <t>L025</t>
        </is>
      </c>
      <c r="B317" s="6" t="n">
        <v>45983</v>
      </c>
      <c r="C317" t="inlineStr">
        <is>
          <t>EPA09</t>
        </is>
      </c>
      <c r="D317" t="n">
        <v>4</v>
      </c>
      <c r="E317" t="inlineStr">
        <is>
          <t>A004</t>
        </is>
      </c>
      <c r="F317" t="inlineStr">
        <is>
          <t>Faculty</t>
        </is>
      </c>
      <c r="G317" t="inlineStr">
        <is>
          <t>ED</t>
        </is>
      </c>
      <c r="H317" t="inlineStr">
        <is>
          <t>CaseC</t>
        </is>
      </c>
      <c r="I317" s="3" t="inlineStr">
        <is>
          <t>Professional and patient-centered approach.</t>
        </is>
      </c>
      <c r="J317" s="3" t="inlineStr">
        <is>
          <t>Document key times and decisions more clearly.</t>
        </is>
      </c>
      <c r="K317" t="n">
        <v>0</v>
      </c>
    </row>
    <row r="318">
      <c r="A318" t="inlineStr">
        <is>
          <t>L017</t>
        </is>
      </c>
      <c r="B318" s="6" t="n">
        <v>45973</v>
      </c>
      <c r="C318" t="inlineStr">
        <is>
          <t>EPA04</t>
        </is>
      </c>
      <c r="D318" t="n">
        <v>3</v>
      </c>
      <c r="E318" t="inlineStr">
        <is>
          <t>A007</t>
        </is>
      </c>
      <c r="F318" t="inlineStr">
        <is>
          <t>Faculty</t>
        </is>
      </c>
      <c r="G318" t="inlineStr">
        <is>
          <t>ED</t>
        </is>
      </c>
      <c r="H318" t="inlineStr">
        <is>
          <t>CaseF</t>
        </is>
      </c>
      <c r="I318" s="3" t="inlineStr">
        <is>
          <t>Effective teamwork and closed-loop communication.</t>
        </is>
      </c>
      <c r="J318" s="3" t="inlineStr">
        <is>
          <t>Clarify escalation criteria and communicate proactively.</t>
        </is>
      </c>
      <c r="K318" t="n">
        <v>0</v>
      </c>
    </row>
    <row r="319">
      <c r="A319" t="inlineStr">
        <is>
          <t>L021</t>
        </is>
      </c>
      <c r="B319" s="6" t="n">
        <v>46039</v>
      </c>
      <c r="C319" t="inlineStr">
        <is>
          <t>EPA02</t>
        </is>
      </c>
      <c r="D319" t="n">
        <v>5</v>
      </c>
      <c r="E319" t="inlineStr">
        <is>
          <t>A008</t>
        </is>
      </c>
      <c r="F319" t="inlineStr">
        <is>
          <t>AlliedHealth</t>
        </is>
      </c>
      <c r="G319" t="inlineStr">
        <is>
          <t>Sim</t>
        </is>
      </c>
      <c r="H319" t="inlineStr">
        <is>
          <t>CaseF</t>
        </is>
      </c>
      <c r="I319" s="3" t="inlineStr">
        <is>
          <t>Good clinical reasoning with key findings identified.</t>
        </is>
      </c>
      <c r="J319" s="3" t="inlineStr">
        <is>
          <t>Document key times and decisions more clearly.</t>
        </is>
      </c>
      <c r="K319" t="n">
        <v>0</v>
      </c>
    </row>
    <row r="320">
      <c r="A320" t="inlineStr">
        <is>
          <t>L006</t>
        </is>
      </c>
      <c r="B320" s="6" t="n">
        <v>46042</v>
      </c>
      <c r="C320" t="inlineStr">
        <is>
          <t>EPA08</t>
        </is>
      </c>
      <c r="D320" t="n">
        <v>3</v>
      </c>
      <c r="E320" t="inlineStr">
        <is>
          <t>A003</t>
        </is>
      </c>
      <c r="F320" t="inlineStr">
        <is>
          <t>Faculty</t>
        </is>
      </c>
      <c r="G320" t="inlineStr">
        <is>
          <t>OR</t>
        </is>
      </c>
      <c r="H320" t="inlineStr">
        <is>
          <t>CaseB</t>
        </is>
      </c>
      <c r="I320" s="3" t="inlineStr">
        <is>
          <t>Clear structure and communication.</t>
        </is>
      </c>
      <c r="J320" s="3" t="inlineStr">
        <is>
          <t>Clarify escalation criteria and communicate proactively.</t>
        </is>
      </c>
      <c r="K320" t="n">
        <v>0</v>
      </c>
    </row>
    <row r="321">
      <c r="A321" t="inlineStr">
        <is>
          <t>L024</t>
        </is>
      </c>
      <c r="B321" s="6" t="n">
        <v>46048</v>
      </c>
      <c r="C321" t="inlineStr">
        <is>
          <t>EPA03</t>
        </is>
      </c>
      <c r="D321" t="n">
        <v>4</v>
      </c>
      <c r="E321" t="inlineStr">
        <is>
          <t>A011</t>
        </is>
      </c>
      <c r="F321" t="inlineStr">
        <is>
          <t>Nurse</t>
        </is>
      </c>
      <c r="G321" t="inlineStr">
        <is>
          <t>ICU</t>
        </is>
      </c>
      <c r="H321" t="inlineStr">
        <is>
          <t>CaseF</t>
        </is>
      </c>
      <c r="I321" s="3" t="inlineStr">
        <is>
          <t>Good clinical reasoning with key findings identified.</t>
        </is>
      </c>
      <c r="J321" s="3" t="inlineStr">
        <is>
          <t>Broaden the differential diagnosis and justify choices.</t>
        </is>
      </c>
      <c r="K321" t="n">
        <v>0</v>
      </c>
    </row>
    <row r="322">
      <c r="A322" t="inlineStr">
        <is>
          <t>L022</t>
        </is>
      </c>
      <c r="B322" s="6" t="n">
        <v>46071</v>
      </c>
      <c r="C322" t="inlineStr">
        <is>
          <t>EPA07</t>
        </is>
      </c>
      <c r="D322" t="n">
        <v>3</v>
      </c>
      <c r="E322" t="inlineStr">
        <is>
          <t>A015</t>
        </is>
      </c>
      <c r="F322" t="inlineStr">
        <is>
          <t>Faculty</t>
        </is>
      </c>
      <c r="G322" t="inlineStr">
        <is>
          <t>Ward</t>
        </is>
      </c>
      <c r="H322" t="inlineStr">
        <is>
          <t>CaseE</t>
        </is>
      </c>
      <c r="I322" s="3" t="n"/>
      <c r="J322" s="3" t="n"/>
      <c r="K322" t="n">
        <v>0</v>
      </c>
    </row>
    <row r="323">
      <c r="A323" t="inlineStr">
        <is>
          <t>L021</t>
        </is>
      </c>
      <c r="B323" s="6" t="n">
        <v>46053</v>
      </c>
      <c r="C323" t="inlineStr">
        <is>
          <t>EPA12</t>
        </is>
      </c>
      <c r="D323" t="n">
        <v>3</v>
      </c>
      <c r="E323" t="inlineStr">
        <is>
          <t>A015</t>
        </is>
      </c>
      <c r="F323" t="inlineStr">
        <is>
          <t>Faculty</t>
        </is>
      </c>
      <c r="G323" t="inlineStr">
        <is>
          <t>ICU</t>
        </is>
      </c>
      <c r="H323" t="inlineStr">
        <is>
          <t>CaseC</t>
        </is>
      </c>
      <c r="I323" s="3" t="inlineStr">
        <is>
          <t>Clear structure and communication.</t>
        </is>
      </c>
      <c r="J323" s="3" t="inlineStr">
        <is>
          <t>Clarify escalation criteria and communicate proactively.</t>
        </is>
      </c>
      <c r="K323" t="n">
        <v>0</v>
      </c>
    </row>
    <row r="324">
      <c r="A324" t="inlineStr">
        <is>
          <t>L016</t>
        </is>
      </c>
      <c r="B324" s="6" t="n">
        <v>45927</v>
      </c>
      <c r="C324" t="inlineStr">
        <is>
          <t>EPA05</t>
        </is>
      </c>
      <c r="D324" t="n">
        <v>3</v>
      </c>
      <c r="E324" t="inlineStr">
        <is>
          <t>A003</t>
        </is>
      </c>
      <c r="F324" t="inlineStr">
        <is>
          <t>Faculty</t>
        </is>
      </c>
      <c r="G324" t="inlineStr">
        <is>
          <t>Ward</t>
        </is>
      </c>
      <c r="H324" t="inlineStr">
        <is>
          <t>CaseD</t>
        </is>
      </c>
      <c r="I324" s="3" t="n"/>
      <c r="J324" s="3" t="n"/>
      <c r="K324" t="n">
        <v>0</v>
      </c>
    </row>
    <row r="325">
      <c r="A325" t="inlineStr">
        <is>
          <t>L015</t>
        </is>
      </c>
      <c r="B325" s="6" t="n">
        <v>46068</v>
      </c>
      <c r="C325" t="inlineStr">
        <is>
          <t>EPA07</t>
        </is>
      </c>
      <c r="D325" t="n">
        <v>3</v>
      </c>
      <c r="E325" t="inlineStr">
        <is>
          <t>A002</t>
        </is>
      </c>
      <c r="F325" t="inlineStr">
        <is>
          <t>Faculty</t>
        </is>
      </c>
      <c r="G325" t="inlineStr">
        <is>
          <t>OR</t>
        </is>
      </c>
      <c r="H325" t="inlineStr">
        <is>
          <t>CaseC</t>
        </is>
      </c>
      <c r="I325" s="3" t="inlineStr">
        <is>
          <t>Appropriate prioritization and plan articulation.</t>
        </is>
      </c>
      <c r="J325" s="3" t="inlineStr">
        <is>
          <t>Clarify escalation criteria and communicate proactively.</t>
        </is>
      </c>
      <c r="K325" t="n">
        <v>0</v>
      </c>
    </row>
    <row r="326">
      <c r="A326" t="inlineStr">
        <is>
          <t>L017</t>
        </is>
      </c>
      <c r="B326" s="6" t="n">
        <v>45906</v>
      </c>
      <c r="C326" t="inlineStr">
        <is>
          <t>EPA06</t>
        </is>
      </c>
      <c r="D326" t="n">
        <v>1</v>
      </c>
      <c r="E326" t="inlineStr">
        <is>
          <t>A004</t>
        </is>
      </c>
      <c r="F326" t="inlineStr">
        <is>
          <t>Faculty</t>
        </is>
      </c>
      <c r="G326" t="inlineStr">
        <is>
          <t>OPD</t>
        </is>
      </c>
      <c r="H326" t="inlineStr">
        <is>
          <t>CaseA</t>
        </is>
      </c>
      <c r="I326" s="3" t="n"/>
      <c r="J326" s="3" t="n"/>
      <c r="K326" t="n">
        <v>0</v>
      </c>
    </row>
    <row r="327">
      <c r="A327" t="inlineStr">
        <is>
          <t>L025</t>
        </is>
      </c>
      <c r="B327" s="6" t="n">
        <v>45988</v>
      </c>
      <c r="C327" t="inlineStr">
        <is>
          <t>EPA04</t>
        </is>
      </c>
      <c r="D327" t="n">
        <v>5</v>
      </c>
      <c r="E327" t="inlineStr">
        <is>
          <t>A008</t>
        </is>
      </c>
      <c r="F327" t="inlineStr">
        <is>
          <t>AlliedHealth</t>
        </is>
      </c>
      <c r="G327" t="inlineStr">
        <is>
          <t>OR</t>
        </is>
      </c>
      <c r="H327" t="inlineStr">
        <is>
          <t>CaseA</t>
        </is>
      </c>
      <c r="I327" s="3" t="n"/>
      <c r="J327" s="3" t="n"/>
      <c r="K327" t="n">
        <v>0</v>
      </c>
    </row>
    <row r="328">
      <c r="A328" t="inlineStr">
        <is>
          <t>L022</t>
        </is>
      </c>
      <c r="B328" s="6" t="n">
        <v>46015</v>
      </c>
      <c r="C328" t="inlineStr">
        <is>
          <t>EPA09</t>
        </is>
      </c>
      <c r="D328" t="n">
        <v>3</v>
      </c>
      <c r="E328" t="inlineStr">
        <is>
          <t>A006</t>
        </is>
      </c>
      <c r="F328" t="inlineStr">
        <is>
          <t>Faculty</t>
        </is>
      </c>
      <c r="G328" t="inlineStr">
        <is>
          <t>Sim</t>
        </is>
      </c>
      <c r="H328" t="inlineStr">
        <is>
          <t>CaseB</t>
        </is>
      </c>
      <c r="I328" s="3" t="n"/>
      <c r="J328" s="3" t="n"/>
      <c r="K328" t="n">
        <v>0</v>
      </c>
    </row>
    <row r="329">
      <c r="A329" t="inlineStr">
        <is>
          <t>L013</t>
        </is>
      </c>
      <c r="B329" s="6" t="n">
        <v>46003</v>
      </c>
      <c r="C329" t="inlineStr">
        <is>
          <t>EPA01</t>
        </is>
      </c>
      <c r="D329" t="n">
        <v>5</v>
      </c>
      <c r="E329" t="inlineStr">
        <is>
          <t>A008</t>
        </is>
      </c>
      <c r="F329" t="inlineStr">
        <is>
          <t>AlliedHealth</t>
        </is>
      </c>
      <c r="G329" t="inlineStr">
        <is>
          <t>ED</t>
        </is>
      </c>
      <c r="H329" t="inlineStr">
        <is>
          <t>CaseG</t>
        </is>
      </c>
      <c r="I329" s="3" t="inlineStr">
        <is>
          <t>Effective teamwork and closed-loop communication.</t>
        </is>
      </c>
      <c r="J329" s="3" t="inlineStr">
        <is>
          <t>Increase efficiency while maintaining safety checks.</t>
        </is>
      </c>
      <c r="K329" t="n">
        <v>0</v>
      </c>
    </row>
    <row r="330">
      <c r="A330" t="inlineStr">
        <is>
          <t>L009</t>
        </is>
      </c>
      <c r="B330" s="6" t="n">
        <v>45948</v>
      </c>
      <c r="C330" t="inlineStr">
        <is>
          <t>EPA11</t>
        </is>
      </c>
      <c r="D330" t="n">
        <v>5</v>
      </c>
      <c r="E330" t="inlineStr">
        <is>
          <t>A011</t>
        </is>
      </c>
      <c r="F330" t="inlineStr">
        <is>
          <t>Nurse</t>
        </is>
      </c>
      <c r="G330" t="inlineStr">
        <is>
          <t>OPD</t>
        </is>
      </c>
      <c r="H330" t="inlineStr">
        <is>
          <t>CaseF</t>
        </is>
      </c>
      <c r="I330" s="3" t="inlineStr">
        <is>
          <t>Clear structure and communication.</t>
        </is>
      </c>
      <c r="J330" s="3" t="inlineStr">
        <is>
          <t>Increase efficiency while maintaining safety checks.</t>
        </is>
      </c>
      <c r="K330" t="n">
        <v>0</v>
      </c>
    </row>
    <row r="331">
      <c r="A331" t="inlineStr">
        <is>
          <t>L007</t>
        </is>
      </c>
      <c r="B331" s="6" t="n">
        <v>45961</v>
      </c>
      <c r="C331" t="inlineStr">
        <is>
          <t>EPA12</t>
        </is>
      </c>
      <c r="D331" t="n">
        <v>3</v>
      </c>
      <c r="E331" t="inlineStr">
        <is>
          <t>A007</t>
        </is>
      </c>
      <c r="F331" t="inlineStr">
        <is>
          <t>Faculty</t>
        </is>
      </c>
      <c r="G331" t="inlineStr">
        <is>
          <t>ICU</t>
        </is>
      </c>
      <c r="H331" t="inlineStr">
        <is>
          <t>CaseA</t>
        </is>
      </c>
      <c r="I331" s="3" t="inlineStr">
        <is>
          <t>Good clinical reasoning with key findings identified.</t>
        </is>
      </c>
      <c r="J331" s="3" t="inlineStr">
        <is>
          <t>Broaden the differential diagnosis and justify choices.</t>
        </is>
      </c>
      <c r="K331" t="n">
        <v>0</v>
      </c>
    </row>
    <row r="332">
      <c r="A332" t="inlineStr">
        <is>
          <t>L020</t>
        </is>
      </c>
      <c r="B332" s="6" t="n">
        <v>45925</v>
      </c>
      <c r="C332" t="inlineStr">
        <is>
          <t>EPA11</t>
        </is>
      </c>
      <c r="D332" t="n">
        <v>3</v>
      </c>
      <c r="E332" t="inlineStr">
        <is>
          <t>A009</t>
        </is>
      </c>
      <c r="F332" t="inlineStr">
        <is>
          <t>AlliedHealth</t>
        </is>
      </c>
      <c r="G332" t="inlineStr">
        <is>
          <t>Sim</t>
        </is>
      </c>
      <c r="H332" t="inlineStr">
        <is>
          <t>CaseC</t>
        </is>
      </c>
      <c r="I332" s="3" t="inlineStr">
        <is>
          <t>Professional and patient-centered approach.</t>
        </is>
      </c>
      <c r="J332" s="3" t="inlineStr">
        <is>
          <t>Broaden the differential diagnosis and justify choices.</t>
        </is>
      </c>
      <c r="K332" t="n">
        <v>0</v>
      </c>
    </row>
    <row r="333">
      <c r="A333" t="inlineStr">
        <is>
          <t>L018</t>
        </is>
      </c>
      <c r="B333" s="6" t="n">
        <v>46027</v>
      </c>
      <c r="C333" t="inlineStr">
        <is>
          <t>EPA08</t>
        </is>
      </c>
      <c r="D333" t="n">
        <v>4</v>
      </c>
      <c r="E333" t="inlineStr">
        <is>
          <t>A013</t>
        </is>
      </c>
      <c r="F333" t="inlineStr">
        <is>
          <t>Nurse</t>
        </is>
      </c>
      <c r="G333" t="inlineStr">
        <is>
          <t>OPD</t>
        </is>
      </c>
      <c r="H333" t="inlineStr">
        <is>
          <t>CaseG</t>
        </is>
      </c>
      <c r="I333" s="3" t="inlineStr">
        <is>
          <t>Professional and patient-centered approach.</t>
        </is>
      </c>
      <c r="J333" s="3" t="n"/>
      <c r="K333" t="n">
        <v>0</v>
      </c>
    </row>
    <row r="334">
      <c r="A334" t="inlineStr">
        <is>
          <t>L010</t>
        </is>
      </c>
      <c r="B334" s="6" t="n">
        <v>45912</v>
      </c>
      <c r="C334" t="inlineStr">
        <is>
          <t>EPA08</t>
        </is>
      </c>
      <c r="D334" t="n">
        <v>4</v>
      </c>
      <c r="E334" t="inlineStr">
        <is>
          <t>A010</t>
        </is>
      </c>
      <c r="F334" t="inlineStr">
        <is>
          <t>Faculty</t>
        </is>
      </c>
      <c r="G334" t="inlineStr">
        <is>
          <t>OR</t>
        </is>
      </c>
      <c r="H334" t="inlineStr">
        <is>
          <t>CaseD</t>
        </is>
      </c>
      <c r="I334" s="3" t="inlineStr">
        <is>
          <t>Appropriate prioritization and plan articulation.</t>
        </is>
      </c>
      <c r="J334" s="3" t="inlineStr">
        <is>
          <t>Broaden the differential diagnosis and justify choices.</t>
        </is>
      </c>
      <c r="K334" t="n">
        <v>0</v>
      </c>
    </row>
    <row r="335">
      <c r="A335" t="inlineStr">
        <is>
          <t>L023</t>
        </is>
      </c>
      <c r="B335" s="6" t="n">
        <v>46060</v>
      </c>
      <c r="C335" t="inlineStr">
        <is>
          <t>EPA07</t>
        </is>
      </c>
      <c r="D335" t="n">
        <v>3</v>
      </c>
      <c r="E335" t="inlineStr">
        <is>
          <t>A014</t>
        </is>
      </c>
      <c r="F335" t="inlineStr">
        <is>
          <t>Faculty</t>
        </is>
      </c>
      <c r="G335" t="inlineStr">
        <is>
          <t>Sim</t>
        </is>
      </c>
      <c r="H335" t="inlineStr">
        <is>
          <t>CaseE</t>
        </is>
      </c>
      <c r="I335" s="3" t="inlineStr">
        <is>
          <t>Professional and patient-centered approach.</t>
        </is>
      </c>
      <c r="J335" s="3" t="inlineStr">
        <is>
          <t>Broaden the differential diagnosis and justify choices.</t>
        </is>
      </c>
      <c r="K335" t="n">
        <v>0</v>
      </c>
    </row>
    <row r="336">
      <c r="A336" t="inlineStr">
        <is>
          <t>L020</t>
        </is>
      </c>
      <c r="B336" s="6" t="n">
        <v>46040</v>
      </c>
      <c r="C336" t="inlineStr">
        <is>
          <t>EPA03</t>
        </is>
      </c>
      <c r="D336" t="n">
        <v>4</v>
      </c>
      <c r="E336" t="inlineStr">
        <is>
          <t>A005</t>
        </is>
      </c>
      <c r="F336" t="inlineStr">
        <is>
          <t>Faculty</t>
        </is>
      </c>
      <c r="G336" t="inlineStr">
        <is>
          <t>Sim</t>
        </is>
      </c>
      <c r="H336" t="inlineStr">
        <is>
          <t>CaseF</t>
        </is>
      </c>
      <c r="I336" s="3" t="inlineStr">
        <is>
          <t>Appropriate prioritization and plan articulation.</t>
        </is>
      </c>
      <c r="J336" s="3" t="inlineStr">
        <is>
          <t>Clarify escalation criteria and communicate proactively.</t>
        </is>
      </c>
      <c r="K336" t="n">
        <v>0</v>
      </c>
    </row>
    <row r="337">
      <c r="A337" t="inlineStr">
        <is>
          <t>L011</t>
        </is>
      </c>
      <c r="B337" s="6" t="n">
        <v>46016</v>
      </c>
      <c r="C337" t="inlineStr">
        <is>
          <t>EPA11</t>
        </is>
      </c>
      <c r="D337" t="n">
        <v>3</v>
      </c>
      <c r="E337" t="inlineStr">
        <is>
          <t>A009</t>
        </is>
      </c>
      <c r="F337" t="inlineStr">
        <is>
          <t>AlliedHealth</t>
        </is>
      </c>
      <c r="G337" t="inlineStr">
        <is>
          <t>ED</t>
        </is>
      </c>
      <c r="H337" t="inlineStr">
        <is>
          <t>CaseB</t>
        </is>
      </c>
      <c r="I337" s="3" t="inlineStr">
        <is>
          <t>Clear structure and communication.</t>
        </is>
      </c>
      <c r="J337" s="3" t="inlineStr">
        <is>
          <t>Be more concise and state the plan earlier.</t>
        </is>
      </c>
      <c r="K337" t="n">
        <v>0</v>
      </c>
    </row>
    <row r="338">
      <c r="A338" t="inlineStr">
        <is>
          <t>L002</t>
        </is>
      </c>
      <c r="B338" s="6" t="n">
        <v>46057</v>
      </c>
      <c r="C338" t="inlineStr">
        <is>
          <t>EPA08</t>
        </is>
      </c>
      <c r="D338" t="n">
        <v>4</v>
      </c>
      <c r="E338" t="inlineStr">
        <is>
          <t>A002</t>
        </is>
      </c>
      <c r="F338" t="inlineStr">
        <is>
          <t>Faculty</t>
        </is>
      </c>
      <c r="G338" t="inlineStr">
        <is>
          <t>OR</t>
        </is>
      </c>
      <c r="H338" t="inlineStr">
        <is>
          <t>CaseD</t>
        </is>
      </c>
      <c r="I338" s="3" t="inlineStr">
        <is>
          <t>Good clinical reasoning with key findings identified.</t>
        </is>
      </c>
      <c r="J338" s="3" t="inlineStr">
        <is>
          <t>Be more concise and state the plan earlier.</t>
        </is>
      </c>
      <c r="K338" t="n">
        <v>0</v>
      </c>
    </row>
    <row r="339">
      <c r="A339" t="inlineStr">
        <is>
          <t>L004</t>
        </is>
      </c>
      <c r="B339" s="6" t="n">
        <v>46020</v>
      </c>
      <c r="C339" t="inlineStr">
        <is>
          <t>EPA08</t>
        </is>
      </c>
      <c r="D339" t="n">
        <v>5</v>
      </c>
      <c r="E339" t="inlineStr">
        <is>
          <t>A011</t>
        </is>
      </c>
      <c r="F339" t="inlineStr">
        <is>
          <t>Nurse</t>
        </is>
      </c>
      <c r="G339" t="inlineStr">
        <is>
          <t>ICU</t>
        </is>
      </c>
      <c r="H339" t="inlineStr">
        <is>
          <t>CaseB</t>
        </is>
      </c>
      <c r="I339" s="3" t="n"/>
      <c r="J339" s="3" t="n"/>
      <c r="K339" t="n">
        <v>0</v>
      </c>
    </row>
    <row r="340">
      <c r="A340" t="inlineStr">
        <is>
          <t>L024</t>
        </is>
      </c>
      <c r="B340" s="6" t="n">
        <v>45996</v>
      </c>
      <c r="C340" t="inlineStr">
        <is>
          <t>EPA11</t>
        </is>
      </c>
      <c r="D340" t="n">
        <v>4</v>
      </c>
      <c r="E340" t="inlineStr">
        <is>
          <t>A012</t>
        </is>
      </c>
      <c r="F340" t="inlineStr">
        <is>
          <t>Faculty</t>
        </is>
      </c>
      <c r="G340" t="inlineStr">
        <is>
          <t>Ward</t>
        </is>
      </c>
      <c r="H340" t="inlineStr">
        <is>
          <t>CaseC</t>
        </is>
      </c>
      <c r="I340" s="3" t="inlineStr">
        <is>
          <t>Clear structure and communication.</t>
        </is>
      </c>
      <c r="J340" s="3" t="inlineStr">
        <is>
          <t>Increase efficiency while maintaining safety checks.</t>
        </is>
      </c>
      <c r="K340" t="n">
        <v>0</v>
      </c>
    </row>
    <row r="341">
      <c r="A341" t="inlineStr">
        <is>
          <t>L008</t>
        </is>
      </c>
      <c r="B341" s="6" t="n">
        <v>46017</v>
      </c>
      <c r="C341" t="inlineStr">
        <is>
          <t>EPA07</t>
        </is>
      </c>
      <c r="D341" t="n">
        <v>3</v>
      </c>
      <c r="E341" t="inlineStr">
        <is>
          <t>A009</t>
        </is>
      </c>
      <c r="F341" t="inlineStr">
        <is>
          <t>AlliedHealth</t>
        </is>
      </c>
      <c r="G341" t="inlineStr">
        <is>
          <t>OPD</t>
        </is>
      </c>
      <c r="H341" t="inlineStr">
        <is>
          <t>CaseA</t>
        </is>
      </c>
      <c r="I341" s="3" t="inlineStr">
        <is>
          <t>Appropriate prioritization and plan articulation.</t>
        </is>
      </c>
      <c r="J341" s="3" t="n"/>
      <c r="K341" t="n">
        <v>0</v>
      </c>
    </row>
    <row r="342">
      <c r="A342" t="inlineStr">
        <is>
          <t>L019</t>
        </is>
      </c>
      <c r="B342" s="6" t="n">
        <v>46065</v>
      </c>
      <c r="C342" t="inlineStr">
        <is>
          <t>EPA10</t>
        </is>
      </c>
      <c r="D342" t="n">
        <v>3</v>
      </c>
      <c r="E342" t="inlineStr">
        <is>
          <t>A015</t>
        </is>
      </c>
      <c r="F342" t="inlineStr">
        <is>
          <t>Faculty</t>
        </is>
      </c>
      <c r="G342" t="inlineStr">
        <is>
          <t>Sim</t>
        </is>
      </c>
      <c r="H342" t="inlineStr">
        <is>
          <t>CaseE</t>
        </is>
      </c>
      <c r="I342" s="3" t="n"/>
      <c r="J342" s="3" t="n"/>
      <c r="K342" t="n">
        <v>0</v>
      </c>
    </row>
    <row r="343">
      <c r="A343" t="inlineStr">
        <is>
          <t>L008</t>
        </is>
      </c>
      <c r="B343" s="6" t="n">
        <v>46071</v>
      </c>
      <c r="C343" t="inlineStr">
        <is>
          <t>EPA03</t>
        </is>
      </c>
      <c r="D343" t="n">
        <v>4</v>
      </c>
      <c r="E343" t="inlineStr">
        <is>
          <t>A009</t>
        </is>
      </c>
      <c r="F343" t="inlineStr">
        <is>
          <t>AlliedHealth</t>
        </is>
      </c>
      <c r="G343" t="inlineStr">
        <is>
          <t>OR</t>
        </is>
      </c>
      <c r="H343" t="inlineStr">
        <is>
          <t>CaseE</t>
        </is>
      </c>
      <c r="I343" s="3" t="inlineStr">
        <is>
          <t>Effective teamwork and closed-loop communication.</t>
        </is>
      </c>
      <c r="J343" s="3" t="inlineStr">
        <is>
          <t>Broaden the differential diagnosis and justify choices.</t>
        </is>
      </c>
      <c r="K343" t="n">
        <v>0</v>
      </c>
    </row>
    <row r="344">
      <c r="A344" t="inlineStr">
        <is>
          <t>L007</t>
        </is>
      </c>
      <c r="B344" s="6" t="n">
        <v>46024</v>
      </c>
      <c r="C344" t="inlineStr">
        <is>
          <t>EPA04</t>
        </is>
      </c>
      <c r="D344" t="n">
        <v>2</v>
      </c>
      <c r="E344" t="inlineStr">
        <is>
          <t>A004</t>
        </is>
      </c>
      <c r="F344" t="inlineStr">
        <is>
          <t>Faculty</t>
        </is>
      </c>
      <c r="G344" t="inlineStr">
        <is>
          <t>Sim</t>
        </is>
      </c>
      <c r="H344" t="inlineStr">
        <is>
          <t>CaseA</t>
        </is>
      </c>
      <c r="I344" s="3" t="n"/>
      <c r="J344" s="3" t="n"/>
      <c r="K344" t="n">
        <v>0</v>
      </c>
    </row>
    <row r="345">
      <c r="A345" t="inlineStr">
        <is>
          <t>L002</t>
        </is>
      </c>
      <c r="B345" s="6" t="n">
        <v>46074</v>
      </c>
      <c r="C345" t="inlineStr">
        <is>
          <t>EPA12</t>
        </is>
      </c>
      <c r="D345" t="n">
        <v>4</v>
      </c>
      <c r="E345" t="inlineStr">
        <is>
          <t>A008</t>
        </is>
      </c>
      <c r="F345" t="inlineStr">
        <is>
          <t>AlliedHealth</t>
        </is>
      </c>
      <c r="G345" t="inlineStr">
        <is>
          <t>Sim</t>
        </is>
      </c>
      <c r="H345" t="inlineStr">
        <is>
          <t>CaseF</t>
        </is>
      </c>
      <c r="I345" s="3" t="inlineStr">
        <is>
          <t>Professional and patient-centered approach.</t>
        </is>
      </c>
      <c r="J345" s="3" t="n"/>
      <c r="K345" t="n">
        <v>0</v>
      </c>
    </row>
    <row r="346">
      <c r="A346" t="inlineStr">
        <is>
          <t>L004</t>
        </is>
      </c>
      <c r="B346" s="6" t="n">
        <v>46048</v>
      </c>
      <c r="C346" t="inlineStr">
        <is>
          <t>EPA09</t>
        </is>
      </c>
      <c r="D346" t="n">
        <v>4</v>
      </c>
      <c r="E346" t="inlineStr">
        <is>
          <t>A013</t>
        </is>
      </c>
      <c r="F346" t="inlineStr">
        <is>
          <t>Nurse</t>
        </is>
      </c>
      <c r="G346" t="inlineStr">
        <is>
          <t>ED</t>
        </is>
      </c>
      <c r="H346" t="inlineStr">
        <is>
          <t>CaseG</t>
        </is>
      </c>
      <c r="I346" s="3" t="n"/>
      <c r="J346" s="3" t="n"/>
      <c r="K346" t="n">
        <v>0</v>
      </c>
    </row>
    <row r="347">
      <c r="A347" t="inlineStr">
        <is>
          <t>L022</t>
        </is>
      </c>
      <c r="B347" s="6" t="n">
        <v>45989</v>
      </c>
      <c r="C347" t="inlineStr">
        <is>
          <t>EPA01</t>
        </is>
      </c>
      <c r="D347" t="n">
        <v>2</v>
      </c>
      <c r="E347" t="inlineStr">
        <is>
          <t>A002</t>
        </is>
      </c>
      <c r="F347" t="inlineStr">
        <is>
          <t>Faculty</t>
        </is>
      </c>
      <c r="G347" t="inlineStr">
        <is>
          <t>OR</t>
        </is>
      </c>
      <c r="H347" t="inlineStr">
        <is>
          <t>CaseG</t>
        </is>
      </c>
      <c r="I347" s="3" t="n"/>
      <c r="J347" s="3" t="n"/>
      <c r="K347" t="n">
        <v>0</v>
      </c>
    </row>
    <row r="348">
      <c r="A348" t="inlineStr">
        <is>
          <t>L023</t>
        </is>
      </c>
      <c r="B348" s="6" t="n">
        <v>45977</v>
      </c>
      <c r="C348" t="inlineStr">
        <is>
          <t>EPA11</t>
        </is>
      </c>
      <c r="D348" t="n">
        <v>4</v>
      </c>
      <c r="E348" t="inlineStr">
        <is>
          <t>A006</t>
        </is>
      </c>
      <c r="F348" t="inlineStr">
        <is>
          <t>Faculty</t>
        </is>
      </c>
      <c r="G348" t="inlineStr">
        <is>
          <t>ICU</t>
        </is>
      </c>
      <c r="H348" t="inlineStr">
        <is>
          <t>CaseF</t>
        </is>
      </c>
      <c r="I348" s="3" t="inlineStr">
        <is>
          <t>Professional and patient-centered approach.</t>
        </is>
      </c>
      <c r="J348" s="3" t="inlineStr">
        <is>
          <t>Broaden the differential diagnosis and justify choices.</t>
        </is>
      </c>
      <c r="K348" t="n">
        <v>0</v>
      </c>
    </row>
    <row r="349">
      <c r="A349" t="inlineStr">
        <is>
          <t>L023</t>
        </is>
      </c>
      <c r="B349" s="6" t="n">
        <v>46043</v>
      </c>
      <c r="C349" t="inlineStr">
        <is>
          <t>EPA12</t>
        </is>
      </c>
      <c r="D349" t="n">
        <v>4</v>
      </c>
      <c r="E349" t="inlineStr">
        <is>
          <t>A014</t>
        </is>
      </c>
      <c r="F349" t="inlineStr">
        <is>
          <t>Faculty</t>
        </is>
      </c>
      <c r="G349" t="inlineStr">
        <is>
          <t>Ward</t>
        </is>
      </c>
      <c r="H349" t="inlineStr">
        <is>
          <t>CaseF</t>
        </is>
      </c>
      <c r="I349" s="3" t="inlineStr">
        <is>
          <t>Clear structure and communication.</t>
        </is>
      </c>
      <c r="J349" s="3" t="inlineStr">
        <is>
          <t>Increase efficiency while maintaining safety checks.</t>
        </is>
      </c>
      <c r="K349" t="n">
        <v>0</v>
      </c>
    </row>
    <row r="350">
      <c r="A350" t="inlineStr">
        <is>
          <t>L015</t>
        </is>
      </c>
      <c r="B350" s="6" t="n">
        <v>46032</v>
      </c>
      <c r="C350" t="inlineStr">
        <is>
          <t>EPA08</t>
        </is>
      </c>
      <c r="D350" t="n">
        <v>4</v>
      </c>
      <c r="E350" t="inlineStr">
        <is>
          <t>A012</t>
        </is>
      </c>
      <c r="F350" t="inlineStr">
        <is>
          <t>Faculty</t>
        </is>
      </c>
      <c r="G350" t="inlineStr">
        <is>
          <t>ICU</t>
        </is>
      </c>
      <c r="H350" t="inlineStr">
        <is>
          <t>CaseF</t>
        </is>
      </c>
      <c r="I350" s="3" t="inlineStr">
        <is>
          <t>Good clinical reasoning with key findings identified.</t>
        </is>
      </c>
      <c r="J350" s="3" t="inlineStr">
        <is>
          <t>Increase efficiency while maintaining safety checks.</t>
        </is>
      </c>
      <c r="K350" t="n">
        <v>0</v>
      </c>
    </row>
    <row r="351">
      <c r="A351" t="inlineStr">
        <is>
          <t>L001</t>
        </is>
      </c>
      <c r="B351" s="6" t="n">
        <v>46049</v>
      </c>
      <c r="C351" t="inlineStr">
        <is>
          <t>EPA04</t>
        </is>
      </c>
      <c r="D351" t="n">
        <v>4</v>
      </c>
      <c r="E351" t="inlineStr">
        <is>
          <t>A006</t>
        </is>
      </c>
      <c r="F351" t="inlineStr">
        <is>
          <t>Faculty</t>
        </is>
      </c>
      <c r="G351" t="inlineStr">
        <is>
          <t>ICU</t>
        </is>
      </c>
      <c r="H351" t="inlineStr">
        <is>
          <t>CaseD</t>
        </is>
      </c>
      <c r="I351" s="3" t="inlineStr">
        <is>
          <t>Appropriate prioritization and plan articulation.</t>
        </is>
      </c>
      <c r="J351" s="3" t="inlineStr">
        <is>
          <t>Be more concise and state the plan earlier.</t>
        </is>
      </c>
      <c r="K351" t="n">
        <v>0</v>
      </c>
    </row>
    <row r="352">
      <c r="A352" t="inlineStr">
        <is>
          <t>L022</t>
        </is>
      </c>
      <c r="B352" s="6" t="n">
        <v>46041</v>
      </c>
      <c r="C352" t="inlineStr">
        <is>
          <t>EPA03</t>
        </is>
      </c>
      <c r="D352" t="n">
        <v>4</v>
      </c>
      <c r="E352" t="inlineStr">
        <is>
          <t>A009</t>
        </is>
      </c>
      <c r="F352" t="inlineStr">
        <is>
          <t>AlliedHealth</t>
        </is>
      </c>
      <c r="G352" t="inlineStr">
        <is>
          <t>Ward</t>
        </is>
      </c>
      <c r="H352" t="inlineStr">
        <is>
          <t>CaseA</t>
        </is>
      </c>
      <c r="I352" s="3" t="inlineStr">
        <is>
          <t>Good clinical reasoning with key findings identified.</t>
        </is>
      </c>
      <c r="J352" s="3" t="inlineStr">
        <is>
          <t>Be more concise and state the plan earlier.</t>
        </is>
      </c>
      <c r="K352" t="n">
        <v>0</v>
      </c>
    </row>
    <row r="353">
      <c r="A353" t="inlineStr">
        <is>
          <t>L006</t>
        </is>
      </c>
      <c r="B353" s="6" t="n">
        <v>45938</v>
      </c>
      <c r="C353" t="inlineStr">
        <is>
          <t>EPA12</t>
        </is>
      </c>
      <c r="D353" t="n">
        <v>3</v>
      </c>
      <c r="E353" t="inlineStr">
        <is>
          <t>A005</t>
        </is>
      </c>
      <c r="F353" t="inlineStr">
        <is>
          <t>Faculty</t>
        </is>
      </c>
      <c r="G353" t="inlineStr">
        <is>
          <t>Sim</t>
        </is>
      </c>
      <c r="H353" t="inlineStr">
        <is>
          <t>CaseE</t>
        </is>
      </c>
      <c r="I353" s="3" t="n"/>
      <c r="J353" s="3" t="n"/>
      <c r="K353" t="n">
        <v>0</v>
      </c>
    </row>
    <row r="354">
      <c r="A354" t="inlineStr">
        <is>
          <t>L012</t>
        </is>
      </c>
      <c r="B354" s="6" t="n">
        <v>45928</v>
      </c>
      <c r="C354" t="inlineStr">
        <is>
          <t>EPA05</t>
        </is>
      </c>
      <c r="D354" t="n">
        <v>4</v>
      </c>
      <c r="E354" t="inlineStr">
        <is>
          <t>A013</t>
        </is>
      </c>
      <c r="F354" t="inlineStr">
        <is>
          <t>Nurse</t>
        </is>
      </c>
      <c r="G354" t="inlineStr">
        <is>
          <t>Sim</t>
        </is>
      </c>
      <c r="H354" t="inlineStr">
        <is>
          <t>CaseD</t>
        </is>
      </c>
      <c r="I354" s="3" t="n"/>
      <c r="J354" s="3" t="n"/>
      <c r="K354" t="n">
        <v>0</v>
      </c>
    </row>
    <row r="355">
      <c r="A355" t="inlineStr">
        <is>
          <t>L002</t>
        </is>
      </c>
      <c r="B355" s="6" t="n">
        <v>45940</v>
      </c>
      <c r="C355" t="inlineStr">
        <is>
          <t>EPA07</t>
        </is>
      </c>
      <c r="D355" t="n">
        <v>5</v>
      </c>
      <c r="E355" t="inlineStr">
        <is>
          <t>A002</t>
        </is>
      </c>
      <c r="F355" t="inlineStr">
        <is>
          <t>Faculty</t>
        </is>
      </c>
      <c r="G355" t="inlineStr">
        <is>
          <t>ICU</t>
        </is>
      </c>
      <c r="H355" t="inlineStr">
        <is>
          <t>CaseC</t>
        </is>
      </c>
      <c r="I355" s="3" t="inlineStr">
        <is>
          <t>Effective teamwork and closed-loop communication.</t>
        </is>
      </c>
      <c r="J355" s="3" t="inlineStr">
        <is>
          <t>Increase efficiency while maintaining safety checks.</t>
        </is>
      </c>
      <c r="K355" t="n">
        <v>0</v>
      </c>
    </row>
    <row r="356">
      <c r="A356" t="inlineStr">
        <is>
          <t>L019</t>
        </is>
      </c>
      <c r="B356" s="6" t="n">
        <v>45968</v>
      </c>
      <c r="C356" t="inlineStr">
        <is>
          <t>EPA11</t>
        </is>
      </c>
      <c r="D356" t="n">
        <v>2</v>
      </c>
      <c r="E356" t="inlineStr">
        <is>
          <t>A004</t>
        </is>
      </c>
      <c r="F356" t="inlineStr">
        <is>
          <t>Faculty</t>
        </is>
      </c>
      <c r="G356" t="inlineStr">
        <is>
          <t>OR</t>
        </is>
      </c>
      <c r="H356" t="inlineStr">
        <is>
          <t>CaseB</t>
        </is>
      </c>
      <c r="I356" s="3" t="n"/>
      <c r="J356" s="3" t="n"/>
      <c r="K356" t="n">
        <v>0</v>
      </c>
    </row>
    <row r="357">
      <c r="A357" t="inlineStr">
        <is>
          <t>L022</t>
        </is>
      </c>
      <c r="B357" s="6" t="n">
        <v>45999</v>
      </c>
      <c r="C357" t="inlineStr">
        <is>
          <t>EPA07</t>
        </is>
      </c>
      <c r="D357" t="n">
        <v>2</v>
      </c>
      <c r="E357" t="inlineStr">
        <is>
          <t>A012</t>
        </is>
      </c>
      <c r="F357" t="inlineStr">
        <is>
          <t>Faculty</t>
        </is>
      </c>
      <c r="G357" t="inlineStr">
        <is>
          <t>Ward</t>
        </is>
      </c>
      <c r="H357" t="inlineStr">
        <is>
          <t>CaseE</t>
        </is>
      </c>
      <c r="I357" s="3" t="inlineStr">
        <is>
          <t>Effective teamwork and closed-loop communication.</t>
        </is>
      </c>
      <c r="J357" s="3" t="n"/>
      <c r="K357" t="n">
        <v>0</v>
      </c>
    </row>
    <row r="358">
      <c r="A358" t="inlineStr">
        <is>
          <t>L001</t>
        </is>
      </c>
      <c r="B358" s="6" t="n">
        <v>46047</v>
      </c>
      <c r="C358" t="inlineStr">
        <is>
          <t>EPA09</t>
        </is>
      </c>
      <c r="D358" t="n">
        <v>4</v>
      </c>
      <c r="E358" t="inlineStr">
        <is>
          <t>A013</t>
        </is>
      </c>
      <c r="F358" t="inlineStr">
        <is>
          <t>Nurse</t>
        </is>
      </c>
      <c r="G358" t="inlineStr">
        <is>
          <t>ICU</t>
        </is>
      </c>
      <c r="H358" t="inlineStr">
        <is>
          <t>CaseB</t>
        </is>
      </c>
      <c r="I358" s="3" t="n"/>
      <c r="J358" s="3" t="n"/>
      <c r="K358" t="n">
        <v>0</v>
      </c>
    </row>
    <row r="359">
      <c r="A359" t="inlineStr">
        <is>
          <t>L005</t>
        </is>
      </c>
      <c r="B359" s="6" t="n">
        <v>45966</v>
      </c>
      <c r="C359" t="inlineStr">
        <is>
          <t>EPA07</t>
        </is>
      </c>
      <c r="D359" t="n">
        <v>2</v>
      </c>
      <c r="E359" t="inlineStr">
        <is>
          <t>A007</t>
        </is>
      </c>
      <c r="F359" t="inlineStr">
        <is>
          <t>Faculty</t>
        </is>
      </c>
      <c r="G359" t="inlineStr">
        <is>
          <t>Sim</t>
        </is>
      </c>
      <c r="H359" t="inlineStr">
        <is>
          <t>CaseF</t>
        </is>
      </c>
      <c r="I359" s="3" t="n"/>
      <c r="J359" s="3" t="n"/>
      <c r="K359" t="n">
        <v>0</v>
      </c>
    </row>
    <row r="360">
      <c r="A360" t="inlineStr">
        <is>
          <t>L009</t>
        </is>
      </c>
      <c r="B360" s="6" t="n">
        <v>46012</v>
      </c>
      <c r="C360" t="inlineStr">
        <is>
          <t>EPA11</t>
        </is>
      </c>
      <c r="D360" t="n">
        <v>4</v>
      </c>
      <c r="E360" t="inlineStr">
        <is>
          <t>A015</t>
        </is>
      </c>
      <c r="F360" t="inlineStr">
        <is>
          <t>Faculty</t>
        </is>
      </c>
      <c r="G360" t="inlineStr">
        <is>
          <t>Sim</t>
        </is>
      </c>
      <c r="H360" t="inlineStr">
        <is>
          <t>CaseA</t>
        </is>
      </c>
      <c r="I360" s="3" t="inlineStr">
        <is>
          <t>Effective teamwork and closed-loop communication.</t>
        </is>
      </c>
      <c r="J360" s="3" t="inlineStr">
        <is>
          <t>Clarify escalation criteria and communicate proactively.</t>
        </is>
      </c>
      <c r="K360" t="n">
        <v>0</v>
      </c>
    </row>
    <row r="361">
      <c r="A361" t="inlineStr">
        <is>
          <t>L024</t>
        </is>
      </c>
      <c r="B361" s="6" t="n">
        <v>46056</v>
      </c>
      <c r="C361" t="inlineStr">
        <is>
          <t>EPA11</t>
        </is>
      </c>
      <c r="D361" t="n">
        <v>4</v>
      </c>
      <c r="E361" t="inlineStr">
        <is>
          <t>A009</t>
        </is>
      </c>
      <c r="F361" t="inlineStr">
        <is>
          <t>AlliedHealth</t>
        </is>
      </c>
      <c r="G361" t="inlineStr">
        <is>
          <t>Sim</t>
        </is>
      </c>
      <c r="H361" t="inlineStr">
        <is>
          <t>CaseC</t>
        </is>
      </c>
      <c r="I361" s="3" t="n"/>
      <c r="J361" s="3" t="n"/>
      <c r="K361" t="n">
        <v>0</v>
      </c>
    </row>
    <row r="362">
      <c r="A362" t="inlineStr">
        <is>
          <t>L021</t>
        </is>
      </c>
      <c r="B362" s="6" t="n">
        <v>46021</v>
      </c>
      <c r="C362" t="inlineStr">
        <is>
          <t>EPA11</t>
        </is>
      </c>
      <c r="D362" t="n">
        <v>5</v>
      </c>
      <c r="E362" t="inlineStr">
        <is>
          <t>A011</t>
        </is>
      </c>
      <c r="F362" t="inlineStr">
        <is>
          <t>Nurse</t>
        </is>
      </c>
      <c r="G362" t="inlineStr">
        <is>
          <t>Sim</t>
        </is>
      </c>
      <c r="H362" t="inlineStr">
        <is>
          <t>CaseC</t>
        </is>
      </c>
      <c r="I362" s="3" t="inlineStr">
        <is>
          <t>Appropriate prioritization and plan articulation.</t>
        </is>
      </c>
      <c r="J362" s="3" t="inlineStr">
        <is>
          <t>Clarify escalation criteria and communicate proactively.</t>
        </is>
      </c>
      <c r="K362" t="n">
        <v>0</v>
      </c>
    </row>
    <row r="363">
      <c r="A363" t="inlineStr">
        <is>
          <t>L005</t>
        </is>
      </c>
      <c r="B363" s="6" t="n">
        <v>45995</v>
      </c>
      <c r="C363" t="inlineStr">
        <is>
          <t>EPA06</t>
        </is>
      </c>
      <c r="D363" t="n">
        <v>2</v>
      </c>
      <c r="E363" t="inlineStr">
        <is>
          <t>A009</t>
        </is>
      </c>
      <c r="F363" t="inlineStr">
        <is>
          <t>AlliedHealth</t>
        </is>
      </c>
      <c r="G363" t="inlineStr">
        <is>
          <t>OR</t>
        </is>
      </c>
      <c r="H363" t="inlineStr">
        <is>
          <t>CaseE</t>
        </is>
      </c>
      <c r="I363" s="3" t="inlineStr">
        <is>
          <t>Clear structure and communication.</t>
        </is>
      </c>
      <c r="J363" s="3" t="inlineStr">
        <is>
          <t>Clarify escalation criteria and communicate proactively.</t>
        </is>
      </c>
      <c r="K363" t="n">
        <v>0</v>
      </c>
    </row>
    <row r="364">
      <c r="A364" t="inlineStr">
        <is>
          <t>L002</t>
        </is>
      </c>
      <c r="B364" s="6" t="n">
        <v>45953</v>
      </c>
      <c r="C364" t="inlineStr">
        <is>
          <t>EPA01</t>
        </is>
      </c>
      <c r="D364" t="n">
        <v>3</v>
      </c>
      <c r="E364" t="inlineStr">
        <is>
          <t>A004</t>
        </is>
      </c>
      <c r="F364" t="inlineStr">
        <is>
          <t>Faculty</t>
        </is>
      </c>
      <c r="G364" t="inlineStr">
        <is>
          <t>Sim</t>
        </is>
      </c>
      <c r="H364" t="inlineStr">
        <is>
          <t>CaseG</t>
        </is>
      </c>
      <c r="I364" s="3" t="inlineStr">
        <is>
          <t>Appropriate prioritization and plan articulation.</t>
        </is>
      </c>
      <c r="J364" s="3" t="inlineStr">
        <is>
          <t>Broaden the differential diagnosis and justify choices.</t>
        </is>
      </c>
      <c r="K364" t="n">
        <v>0</v>
      </c>
    </row>
    <row r="365">
      <c r="A365" t="inlineStr">
        <is>
          <t>L003</t>
        </is>
      </c>
      <c r="B365" s="6" t="n">
        <v>45928</v>
      </c>
      <c r="C365" t="inlineStr">
        <is>
          <t>EPA04</t>
        </is>
      </c>
      <c r="D365" t="n">
        <v>4</v>
      </c>
      <c r="E365" t="inlineStr">
        <is>
          <t>A014</t>
        </is>
      </c>
      <c r="F365" t="inlineStr">
        <is>
          <t>Faculty</t>
        </is>
      </c>
      <c r="G365" t="inlineStr">
        <is>
          <t>OPD</t>
        </is>
      </c>
      <c r="H365" t="inlineStr">
        <is>
          <t>CaseC</t>
        </is>
      </c>
      <c r="I365" s="3" t="inlineStr">
        <is>
          <t>Good clinical reasoning with key findings identified.</t>
        </is>
      </c>
      <c r="J365" s="3" t="inlineStr">
        <is>
          <t>Clarify escalation criteria and communicate proactively.</t>
        </is>
      </c>
      <c r="K365" t="n">
        <v>0</v>
      </c>
    </row>
    <row r="366">
      <c r="A366" t="inlineStr">
        <is>
          <t>L006</t>
        </is>
      </c>
      <c r="B366" s="6" t="n">
        <v>46029</v>
      </c>
      <c r="C366" t="inlineStr">
        <is>
          <t>EPA06</t>
        </is>
      </c>
      <c r="D366" t="n">
        <v>2</v>
      </c>
      <c r="E366" t="inlineStr">
        <is>
          <t>A007</t>
        </is>
      </c>
      <c r="F366" t="inlineStr">
        <is>
          <t>Faculty</t>
        </is>
      </c>
      <c r="G366" t="inlineStr">
        <is>
          <t>Ward</t>
        </is>
      </c>
      <c r="H366" t="inlineStr">
        <is>
          <t>CaseE</t>
        </is>
      </c>
      <c r="I366" s="3" t="inlineStr">
        <is>
          <t>Effective teamwork and closed-loop communication.</t>
        </is>
      </c>
      <c r="J366" s="3" t="inlineStr">
        <is>
          <t>Broaden the differential diagnosis and justify choices.</t>
        </is>
      </c>
      <c r="K366" t="n">
        <v>0</v>
      </c>
    </row>
    <row r="367">
      <c r="A367" t="inlineStr">
        <is>
          <t>L007</t>
        </is>
      </c>
      <c r="B367" s="6" t="n">
        <v>45908</v>
      </c>
      <c r="C367" t="inlineStr">
        <is>
          <t>EPA01</t>
        </is>
      </c>
      <c r="D367" t="n">
        <v>4</v>
      </c>
      <c r="E367" t="inlineStr">
        <is>
          <t>A005</t>
        </is>
      </c>
      <c r="F367" t="inlineStr">
        <is>
          <t>Faculty</t>
        </is>
      </c>
      <c r="G367" t="inlineStr">
        <is>
          <t>ICU</t>
        </is>
      </c>
      <c r="H367" t="inlineStr">
        <is>
          <t>CaseB</t>
        </is>
      </c>
      <c r="I367" s="3" t="n"/>
      <c r="J367" s="3" t="n"/>
      <c r="K367" t="n">
        <v>0</v>
      </c>
    </row>
    <row r="368">
      <c r="A368" t="inlineStr">
        <is>
          <t>L002</t>
        </is>
      </c>
      <c r="B368" s="6" t="n">
        <v>46033</v>
      </c>
      <c r="C368" t="inlineStr">
        <is>
          <t>EPA11</t>
        </is>
      </c>
      <c r="D368" t="n">
        <v>5</v>
      </c>
      <c r="E368" t="inlineStr">
        <is>
          <t>A013</t>
        </is>
      </c>
      <c r="F368" t="inlineStr">
        <is>
          <t>Nurse</t>
        </is>
      </c>
      <c r="G368" t="inlineStr">
        <is>
          <t>OR</t>
        </is>
      </c>
      <c r="H368" t="inlineStr">
        <is>
          <t>CaseA</t>
        </is>
      </c>
      <c r="I368" s="3" t="inlineStr">
        <is>
          <t>Appropriate prioritization and plan articulation.</t>
        </is>
      </c>
      <c r="J368" s="3" t="inlineStr">
        <is>
          <t>Document key times and decisions more clearly.</t>
        </is>
      </c>
      <c r="K368" t="n">
        <v>0</v>
      </c>
    </row>
    <row r="369">
      <c r="A369" t="inlineStr">
        <is>
          <t>L017</t>
        </is>
      </c>
      <c r="B369" s="6" t="n">
        <v>46074</v>
      </c>
      <c r="C369" t="inlineStr">
        <is>
          <t>EPA03</t>
        </is>
      </c>
      <c r="D369" t="n">
        <v>2</v>
      </c>
      <c r="E369" t="inlineStr">
        <is>
          <t>A013</t>
        </is>
      </c>
      <c r="F369" t="inlineStr">
        <is>
          <t>Nurse</t>
        </is>
      </c>
      <c r="G369" t="inlineStr">
        <is>
          <t>OPD</t>
        </is>
      </c>
      <c r="H369" t="inlineStr">
        <is>
          <t>CaseC</t>
        </is>
      </c>
      <c r="I369" s="3" t="inlineStr">
        <is>
          <t>Clear structure and communication.</t>
        </is>
      </c>
      <c r="J369" s="3" t="inlineStr">
        <is>
          <t>Increase efficiency while maintaining safety checks.</t>
        </is>
      </c>
      <c r="K369" t="n">
        <v>0</v>
      </c>
    </row>
    <row r="370">
      <c r="A370" t="inlineStr">
        <is>
          <t>L010</t>
        </is>
      </c>
      <c r="B370" s="6" t="n">
        <v>46004</v>
      </c>
      <c r="C370" t="inlineStr">
        <is>
          <t>EPA02</t>
        </is>
      </c>
      <c r="D370" t="n">
        <v>3</v>
      </c>
      <c r="E370" t="inlineStr">
        <is>
          <t>A002</t>
        </is>
      </c>
      <c r="F370" t="inlineStr">
        <is>
          <t>Faculty</t>
        </is>
      </c>
      <c r="G370" t="inlineStr">
        <is>
          <t>Sim</t>
        </is>
      </c>
      <c r="H370" t="inlineStr">
        <is>
          <t>CaseG</t>
        </is>
      </c>
      <c r="I370" s="3" t="n"/>
      <c r="J370" s="3" t="n"/>
      <c r="K370" t="n">
        <v>0</v>
      </c>
    </row>
    <row r="371">
      <c r="A371" t="inlineStr">
        <is>
          <t>L011</t>
        </is>
      </c>
      <c r="B371" s="6" t="n">
        <v>45957</v>
      </c>
      <c r="C371" t="inlineStr">
        <is>
          <t>EPA03</t>
        </is>
      </c>
      <c r="D371" t="n">
        <v>4</v>
      </c>
      <c r="E371" t="inlineStr">
        <is>
          <t>A002</t>
        </is>
      </c>
      <c r="F371" t="inlineStr">
        <is>
          <t>Faculty</t>
        </is>
      </c>
      <c r="G371" t="inlineStr">
        <is>
          <t>ICU</t>
        </is>
      </c>
      <c r="H371" t="inlineStr">
        <is>
          <t>CaseA</t>
        </is>
      </c>
      <c r="I371" s="3" t="n"/>
      <c r="J371" s="3" t="n"/>
      <c r="K371" t="n">
        <v>0</v>
      </c>
    </row>
    <row r="372">
      <c r="A372" t="inlineStr">
        <is>
          <t>L004</t>
        </is>
      </c>
      <c r="B372" s="6" t="n">
        <v>45978</v>
      </c>
      <c r="C372" t="inlineStr">
        <is>
          <t>EPA01</t>
        </is>
      </c>
      <c r="D372" t="n">
        <v>5</v>
      </c>
      <c r="E372" t="inlineStr">
        <is>
          <t>A011</t>
        </is>
      </c>
      <c r="F372" t="inlineStr">
        <is>
          <t>Nurse</t>
        </is>
      </c>
      <c r="G372" t="inlineStr">
        <is>
          <t>ED</t>
        </is>
      </c>
      <c r="H372" t="inlineStr">
        <is>
          <t>CaseD</t>
        </is>
      </c>
      <c r="I372" s="3" t="inlineStr">
        <is>
          <t>Good clinical reasoning with key findings identified.</t>
        </is>
      </c>
      <c r="J372" s="3" t="inlineStr">
        <is>
          <t>Increase efficiency while maintaining safety checks.</t>
        </is>
      </c>
      <c r="K372" t="n">
        <v>0</v>
      </c>
    </row>
    <row r="373">
      <c r="A373" t="inlineStr">
        <is>
          <t>L006</t>
        </is>
      </c>
      <c r="B373" s="6" t="n">
        <v>46003</v>
      </c>
      <c r="C373" t="inlineStr">
        <is>
          <t>EPA08</t>
        </is>
      </c>
      <c r="D373" t="n">
        <v>3</v>
      </c>
      <c r="E373" t="inlineStr">
        <is>
          <t>A008</t>
        </is>
      </c>
      <c r="F373" t="inlineStr">
        <is>
          <t>AlliedHealth</t>
        </is>
      </c>
      <c r="G373" t="inlineStr">
        <is>
          <t>ICU</t>
        </is>
      </c>
      <c r="H373" t="inlineStr">
        <is>
          <t>CaseG</t>
        </is>
      </c>
      <c r="I373" s="3" t="inlineStr">
        <is>
          <t>Effective teamwork and closed-loop communication.</t>
        </is>
      </c>
      <c r="J373" s="3" t="inlineStr">
        <is>
          <t>Document key times and decisions more clearly.</t>
        </is>
      </c>
      <c r="K373" t="n">
        <v>0</v>
      </c>
    </row>
    <row r="374">
      <c r="A374" t="inlineStr">
        <is>
          <t>L020</t>
        </is>
      </c>
      <c r="B374" s="6" t="n">
        <v>46007</v>
      </c>
      <c r="C374" t="inlineStr">
        <is>
          <t>EPA03</t>
        </is>
      </c>
      <c r="D374" t="n">
        <v>4</v>
      </c>
      <c r="E374" t="inlineStr">
        <is>
          <t>A014</t>
        </is>
      </c>
      <c r="F374" t="inlineStr">
        <is>
          <t>Faculty</t>
        </is>
      </c>
      <c r="G374" t="inlineStr">
        <is>
          <t>OR</t>
        </is>
      </c>
      <c r="H374" t="inlineStr">
        <is>
          <t>CaseA</t>
        </is>
      </c>
      <c r="I374" s="3" t="n"/>
      <c r="J374" s="3" t="n"/>
      <c r="K374" t="n">
        <v>0</v>
      </c>
    </row>
    <row r="375">
      <c r="A375" t="inlineStr">
        <is>
          <t>L002</t>
        </is>
      </c>
      <c r="B375" s="6" t="n">
        <v>45929</v>
      </c>
      <c r="C375" t="inlineStr">
        <is>
          <t>EPA10</t>
        </is>
      </c>
      <c r="D375" t="n">
        <v>4</v>
      </c>
      <c r="E375" t="inlineStr">
        <is>
          <t>A006</t>
        </is>
      </c>
      <c r="F375" t="inlineStr">
        <is>
          <t>Faculty</t>
        </is>
      </c>
      <c r="G375" t="inlineStr">
        <is>
          <t>ICU</t>
        </is>
      </c>
      <c r="H375" t="inlineStr">
        <is>
          <t>CaseD</t>
        </is>
      </c>
      <c r="I375" s="3" t="n"/>
      <c r="J375" s="3" t="n"/>
      <c r="K375" t="n">
        <v>0</v>
      </c>
    </row>
    <row r="376">
      <c r="A376" t="inlineStr">
        <is>
          <t>L009</t>
        </is>
      </c>
      <c r="B376" s="6" t="n">
        <v>45911</v>
      </c>
      <c r="C376" t="inlineStr">
        <is>
          <t>EPA03</t>
        </is>
      </c>
      <c r="D376" t="n">
        <v>4</v>
      </c>
      <c r="E376" t="inlineStr">
        <is>
          <t>A007</t>
        </is>
      </c>
      <c r="F376" t="inlineStr">
        <is>
          <t>Faculty</t>
        </is>
      </c>
      <c r="G376" t="inlineStr">
        <is>
          <t>OR</t>
        </is>
      </c>
      <c r="H376" t="inlineStr">
        <is>
          <t>CaseB</t>
        </is>
      </c>
      <c r="I376" s="3" t="n"/>
      <c r="J376" s="3" t="n"/>
      <c r="K376" t="n">
        <v>0</v>
      </c>
    </row>
    <row r="377">
      <c r="A377" t="inlineStr">
        <is>
          <t>L006</t>
        </is>
      </c>
      <c r="B377" s="6" t="n">
        <v>46053</v>
      </c>
      <c r="C377" t="inlineStr">
        <is>
          <t>EPA01</t>
        </is>
      </c>
      <c r="D377" t="n">
        <v>3</v>
      </c>
      <c r="E377" t="inlineStr">
        <is>
          <t>A004</t>
        </is>
      </c>
      <c r="F377" t="inlineStr">
        <is>
          <t>Faculty</t>
        </is>
      </c>
      <c r="G377" t="inlineStr">
        <is>
          <t>OR</t>
        </is>
      </c>
      <c r="H377" t="inlineStr">
        <is>
          <t>CaseB</t>
        </is>
      </c>
      <c r="I377" s="3" t="inlineStr">
        <is>
          <t>Good clinical reasoning with key findings identified.</t>
        </is>
      </c>
      <c r="J377" s="3" t="inlineStr">
        <is>
          <t>Clarify escalation criteria and communicate proactively.</t>
        </is>
      </c>
      <c r="K377" t="n">
        <v>0</v>
      </c>
    </row>
    <row r="378">
      <c r="A378" t="inlineStr">
        <is>
          <t>L019</t>
        </is>
      </c>
      <c r="B378" s="6" t="n">
        <v>45983</v>
      </c>
      <c r="C378" t="inlineStr">
        <is>
          <t>EPA05</t>
        </is>
      </c>
      <c r="D378" t="n">
        <v>2</v>
      </c>
      <c r="E378" t="inlineStr">
        <is>
          <t>A015</t>
        </is>
      </c>
      <c r="F378" t="inlineStr">
        <is>
          <t>Faculty</t>
        </is>
      </c>
      <c r="G378" t="inlineStr">
        <is>
          <t>OR</t>
        </is>
      </c>
      <c r="H378" t="inlineStr">
        <is>
          <t>CaseG</t>
        </is>
      </c>
      <c r="I378" s="3" t="inlineStr">
        <is>
          <t>Clear structure and communication.</t>
        </is>
      </c>
      <c r="J378" s="3" t="inlineStr">
        <is>
          <t>Increase efficiency while maintaining safety checks.</t>
        </is>
      </c>
      <c r="K378" t="n">
        <v>0</v>
      </c>
    </row>
    <row r="379">
      <c r="A379" t="inlineStr">
        <is>
          <t>L018</t>
        </is>
      </c>
      <c r="B379" s="6" t="n">
        <v>45902</v>
      </c>
      <c r="C379" t="inlineStr">
        <is>
          <t>EPA08</t>
        </is>
      </c>
      <c r="D379" t="n">
        <v>5</v>
      </c>
      <c r="E379" t="inlineStr">
        <is>
          <t>A001</t>
        </is>
      </c>
      <c r="F379" t="inlineStr">
        <is>
          <t>Faculty</t>
        </is>
      </c>
      <c r="G379" t="inlineStr">
        <is>
          <t>ED</t>
        </is>
      </c>
      <c r="H379" t="inlineStr">
        <is>
          <t>CaseD</t>
        </is>
      </c>
      <c r="I379" s="3" t="inlineStr">
        <is>
          <t>Professional and patient-centered approach.</t>
        </is>
      </c>
      <c r="J379" s="3" t="inlineStr">
        <is>
          <t>Be more concise and state the plan earlier.</t>
        </is>
      </c>
      <c r="K379" t="n">
        <v>0</v>
      </c>
    </row>
    <row r="380">
      <c r="A380" t="inlineStr">
        <is>
          <t>L012</t>
        </is>
      </c>
      <c r="B380" s="6" t="n">
        <v>46026</v>
      </c>
      <c r="C380" t="inlineStr">
        <is>
          <t>EPA07</t>
        </is>
      </c>
      <c r="D380" t="n">
        <v>4</v>
      </c>
      <c r="E380" t="inlineStr">
        <is>
          <t>A001</t>
        </is>
      </c>
      <c r="F380" t="inlineStr">
        <is>
          <t>Faculty</t>
        </is>
      </c>
      <c r="G380" t="inlineStr">
        <is>
          <t>OR</t>
        </is>
      </c>
      <c r="H380" t="inlineStr">
        <is>
          <t>CaseC</t>
        </is>
      </c>
      <c r="I380" s="3" t="inlineStr">
        <is>
          <t>Good clinical reasoning with key findings identified.</t>
        </is>
      </c>
      <c r="J380" s="3" t="inlineStr">
        <is>
          <t>Broaden the differential diagnosis and justify choices.</t>
        </is>
      </c>
      <c r="K380" t="n">
        <v>0</v>
      </c>
    </row>
    <row r="381">
      <c r="A381" t="inlineStr">
        <is>
          <t>L011</t>
        </is>
      </c>
      <c r="B381" s="6" t="n">
        <v>45998</v>
      </c>
      <c r="C381" t="inlineStr">
        <is>
          <t>EPA10</t>
        </is>
      </c>
      <c r="D381" t="n">
        <v>4</v>
      </c>
      <c r="E381" t="inlineStr">
        <is>
          <t>A005</t>
        </is>
      </c>
      <c r="F381" t="inlineStr">
        <is>
          <t>Faculty</t>
        </is>
      </c>
      <c r="G381" t="inlineStr">
        <is>
          <t>Sim</t>
        </is>
      </c>
      <c r="H381" t="inlineStr">
        <is>
          <t>CaseC</t>
        </is>
      </c>
      <c r="I381" s="3" t="inlineStr">
        <is>
          <t>Effective teamwork and closed-loop communication.</t>
        </is>
      </c>
      <c r="J381" s="3" t="inlineStr">
        <is>
          <t>Document key times and decisions more clearly.</t>
        </is>
      </c>
      <c r="K381" t="n">
        <v>0</v>
      </c>
    </row>
    <row r="382">
      <c r="A382" t="inlineStr">
        <is>
          <t>L004</t>
        </is>
      </c>
      <c r="B382" s="6" t="n">
        <v>46015</v>
      </c>
      <c r="C382" t="inlineStr">
        <is>
          <t>EPA03</t>
        </is>
      </c>
      <c r="D382" t="n">
        <v>4</v>
      </c>
      <c r="E382" t="inlineStr">
        <is>
          <t>A001</t>
        </is>
      </c>
      <c r="F382" t="inlineStr">
        <is>
          <t>Faculty</t>
        </is>
      </c>
      <c r="G382" t="inlineStr">
        <is>
          <t>ICU</t>
        </is>
      </c>
      <c r="H382" t="inlineStr">
        <is>
          <t>CaseF</t>
        </is>
      </c>
      <c r="I382" s="3" t="inlineStr">
        <is>
          <t>Good clinical reasoning with key findings identified.</t>
        </is>
      </c>
      <c r="J382" s="3" t="n"/>
      <c r="K382" t="n">
        <v>0</v>
      </c>
    </row>
    <row r="383">
      <c r="A383" t="inlineStr">
        <is>
          <t>L003</t>
        </is>
      </c>
      <c r="B383" s="6" t="n">
        <v>45996</v>
      </c>
      <c r="C383" t="inlineStr">
        <is>
          <t>EPA11</t>
        </is>
      </c>
      <c r="D383" t="n">
        <v>4</v>
      </c>
      <c r="E383" t="inlineStr">
        <is>
          <t>A002</t>
        </is>
      </c>
      <c r="F383" t="inlineStr">
        <is>
          <t>Faculty</t>
        </is>
      </c>
      <c r="G383" t="inlineStr">
        <is>
          <t>OPD</t>
        </is>
      </c>
      <c r="H383" t="inlineStr">
        <is>
          <t>CaseC</t>
        </is>
      </c>
      <c r="I383" s="3" t="inlineStr">
        <is>
          <t>Clear structure and communication.</t>
        </is>
      </c>
      <c r="J383" s="3" t="inlineStr">
        <is>
          <t>Clarify escalation criteria and communicate proactively.</t>
        </is>
      </c>
      <c r="K383" t="n">
        <v>0</v>
      </c>
    </row>
    <row r="384">
      <c r="A384" t="inlineStr">
        <is>
          <t>L021</t>
        </is>
      </c>
      <c r="B384" s="6" t="n">
        <v>46004</v>
      </c>
      <c r="C384" t="inlineStr">
        <is>
          <t>EPA11</t>
        </is>
      </c>
      <c r="D384" t="n">
        <v>4</v>
      </c>
      <c r="E384" t="inlineStr">
        <is>
          <t>A008</t>
        </is>
      </c>
      <c r="F384" t="inlineStr">
        <is>
          <t>AlliedHealth</t>
        </is>
      </c>
      <c r="G384" t="inlineStr">
        <is>
          <t>ED</t>
        </is>
      </c>
      <c r="H384" t="inlineStr">
        <is>
          <t>CaseE</t>
        </is>
      </c>
      <c r="I384" s="3" t="inlineStr">
        <is>
          <t>Professional and patient-centered approach.</t>
        </is>
      </c>
      <c r="J384" s="3" t="inlineStr">
        <is>
          <t>Document key times and decisions more clearly.</t>
        </is>
      </c>
      <c r="K384" t="n">
        <v>0</v>
      </c>
    </row>
    <row r="385">
      <c r="A385" t="inlineStr">
        <is>
          <t>L011</t>
        </is>
      </c>
      <c r="B385" s="6" t="n">
        <v>46019</v>
      </c>
      <c r="C385" t="inlineStr">
        <is>
          <t>EPA02</t>
        </is>
      </c>
      <c r="D385" t="n">
        <v>2</v>
      </c>
      <c r="E385" t="inlineStr">
        <is>
          <t>A003</t>
        </is>
      </c>
      <c r="F385" t="inlineStr">
        <is>
          <t>Faculty</t>
        </is>
      </c>
      <c r="G385" t="inlineStr">
        <is>
          <t>ICU</t>
        </is>
      </c>
      <c r="H385" t="inlineStr">
        <is>
          <t>CaseF</t>
        </is>
      </c>
      <c r="I385" s="3" t="inlineStr">
        <is>
          <t>Good clinical reasoning with key findings identified.</t>
        </is>
      </c>
      <c r="J385" s="3" t="inlineStr">
        <is>
          <t>Increase efficiency while maintaining safety checks.</t>
        </is>
      </c>
      <c r="K385" t="n">
        <v>0</v>
      </c>
    </row>
    <row r="386">
      <c r="A386" t="inlineStr">
        <is>
          <t>L017</t>
        </is>
      </c>
      <c r="B386" s="6" t="n">
        <v>45944</v>
      </c>
      <c r="C386" t="inlineStr">
        <is>
          <t>EPA07</t>
        </is>
      </c>
      <c r="D386" t="n">
        <v>1</v>
      </c>
      <c r="E386" t="inlineStr">
        <is>
          <t>A003</t>
        </is>
      </c>
      <c r="F386" t="inlineStr">
        <is>
          <t>Faculty</t>
        </is>
      </c>
      <c r="G386" t="inlineStr">
        <is>
          <t>ED</t>
        </is>
      </c>
      <c r="H386" t="inlineStr">
        <is>
          <t>CaseG</t>
        </is>
      </c>
      <c r="I386" s="3" t="n"/>
      <c r="J386" s="3" t="n"/>
      <c r="K386" t="n">
        <v>0</v>
      </c>
    </row>
    <row r="387">
      <c r="A387" t="inlineStr">
        <is>
          <t>L018</t>
        </is>
      </c>
      <c r="B387" s="6" t="n">
        <v>45964</v>
      </c>
      <c r="C387" t="inlineStr">
        <is>
          <t>EPA02</t>
        </is>
      </c>
      <c r="D387" t="n">
        <v>4</v>
      </c>
      <c r="E387" t="inlineStr">
        <is>
          <t>A009</t>
        </is>
      </c>
      <c r="F387" t="inlineStr">
        <is>
          <t>AlliedHealth</t>
        </is>
      </c>
      <c r="G387" t="inlineStr">
        <is>
          <t>Sim</t>
        </is>
      </c>
      <c r="H387" t="inlineStr">
        <is>
          <t>CaseG</t>
        </is>
      </c>
      <c r="I387" s="3" t="inlineStr">
        <is>
          <t>Appropriate prioritization and plan articulation.</t>
        </is>
      </c>
      <c r="J387" s="3" t="inlineStr">
        <is>
          <t>Be more concise and state the plan earlier.</t>
        </is>
      </c>
      <c r="K387" t="n">
        <v>0</v>
      </c>
    </row>
    <row r="388">
      <c r="A388" t="inlineStr">
        <is>
          <t>L007</t>
        </is>
      </c>
      <c r="B388" s="6" t="n">
        <v>45940</v>
      </c>
      <c r="C388" t="inlineStr">
        <is>
          <t>EPA06</t>
        </is>
      </c>
      <c r="D388" t="n">
        <v>2</v>
      </c>
      <c r="E388" t="inlineStr">
        <is>
          <t>A010</t>
        </is>
      </c>
      <c r="F388" t="inlineStr">
        <is>
          <t>Faculty</t>
        </is>
      </c>
      <c r="G388" t="inlineStr">
        <is>
          <t>ED</t>
        </is>
      </c>
      <c r="H388" t="inlineStr">
        <is>
          <t>CaseF</t>
        </is>
      </c>
      <c r="I388" s="3" t="inlineStr">
        <is>
          <t>Clear structure and communication.</t>
        </is>
      </c>
      <c r="J388" s="3" t="inlineStr">
        <is>
          <t>Increase efficiency while maintaining safety checks.</t>
        </is>
      </c>
      <c r="K388" t="n">
        <v>0</v>
      </c>
    </row>
    <row r="389">
      <c r="A389" t="inlineStr">
        <is>
          <t>L004</t>
        </is>
      </c>
      <c r="B389" s="6" t="n">
        <v>45969</v>
      </c>
      <c r="C389" t="inlineStr">
        <is>
          <t>EPA02</t>
        </is>
      </c>
      <c r="D389" t="n">
        <v>4</v>
      </c>
      <c r="E389" t="inlineStr">
        <is>
          <t>A009</t>
        </is>
      </c>
      <c r="F389" t="inlineStr">
        <is>
          <t>AlliedHealth</t>
        </is>
      </c>
      <c r="G389" t="inlineStr">
        <is>
          <t>Ward</t>
        </is>
      </c>
      <c r="H389" t="inlineStr">
        <is>
          <t>CaseE</t>
        </is>
      </c>
      <c r="I389" s="3" t="inlineStr">
        <is>
          <t>Effective teamwork and closed-loop communication.</t>
        </is>
      </c>
      <c r="J389" s="3" t="inlineStr">
        <is>
          <t>Clarify escalation criteria and communicate proactively.</t>
        </is>
      </c>
      <c r="K389" t="n">
        <v>0</v>
      </c>
    </row>
    <row r="390">
      <c r="A390" t="inlineStr">
        <is>
          <t>L022</t>
        </is>
      </c>
      <c r="B390" s="6" t="n">
        <v>45901</v>
      </c>
      <c r="C390" t="inlineStr">
        <is>
          <t>EPA07</t>
        </is>
      </c>
      <c r="D390" t="n">
        <v>2</v>
      </c>
      <c r="E390" t="inlineStr">
        <is>
          <t>A005</t>
        </is>
      </c>
      <c r="F390" t="inlineStr">
        <is>
          <t>Faculty</t>
        </is>
      </c>
      <c r="G390" t="inlineStr">
        <is>
          <t>OR</t>
        </is>
      </c>
      <c r="H390" t="inlineStr">
        <is>
          <t>CaseA</t>
        </is>
      </c>
      <c r="I390" s="3" t="inlineStr">
        <is>
          <t>Appropriate prioritization and plan articulation.</t>
        </is>
      </c>
      <c r="J390" s="3" t="inlineStr">
        <is>
          <t>Broaden the differential diagnosis and justify choices.</t>
        </is>
      </c>
      <c r="K390" t="n">
        <v>0</v>
      </c>
    </row>
    <row r="391">
      <c r="A391" t="inlineStr">
        <is>
          <t>L001</t>
        </is>
      </c>
      <c r="B391" s="6" t="n">
        <v>45912</v>
      </c>
      <c r="C391" t="inlineStr">
        <is>
          <t>EPA12</t>
        </is>
      </c>
      <c r="D391" t="n">
        <v>4</v>
      </c>
      <c r="E391" t="inlineStr">
        <is>
          <t>A006</t>
        </is>
      </c>
      <c r="F391" t="inlineStr">
        <is>
          <t>Faculty</t>
        </is>
      </c>
      <c r="G391" t="inlineStr">
        <is>
          <t>OR</t>
        </is>
      </c>
      <c r="H391" t="inlineStr">
        <is>
          <t>CaseA</t>
        </is>
      </c>
      <c r="I391" s="3" t="n"/>
      <c r="J391" s="3" t="n"/>
      <c r="K391" t="n">
        <v>0</v>
      </c>
    </row>
    <row r="392">
      <c r="A392" t="inlineStr">
        <is>
          <t>L007</t>
        </is>
      </c>
      <c r="B392" s="6" t="n">
        <v>46045</v>
      </c>
      <c r="C392" t="inlineStr">
        <is>
          <t>EPA02</t>
        </is>
      </c>
      <c r="D392" t="n">
        <v>3</v>
      </c>
      <c r="E392" t="inlineStr">
        <is>
          <t>A015</t>
        </is>
      </c>
      <c r="F392" t="inlineStr">
        <is>
          <t>Faculty</t>
        </is>
      </c>
      <c r="G392" t="inlineStr">
        <is>
          <t>Ward</t>
        </is>
      </c>
      <c r="H392" t="inlineStr">
        <is>
          <t>CaseF</t>
        </is>
      </c>
      <c r="I392" s="3" t="inlineStr">
        <is>
          <t>Good clinical reasoning with key findings identified.</t>
        </is>
      </c>
      <c r="J392" s="3" t="n"/>
      <c r="K392" t="n">
        <v>1</v>
      </c>
    </row>
    <row r="393">
      <c r="A393" t="inlineStr">
        <is>
          <t>L023</t>
        </is>
      </c>
      <c r="B393" s="6" t="n">
        <v>46047</v>
      </c>
      <c r="C393" t="inlineStr">
        <is>
          <t>EPA08</t>
        </is>
      </c>
      <c r="D393" t="n">
        <v>4</v>
      </c>
      <c r="E393" t="inlineStr">
        <is>
          <t>A013</t>
        </is>
      </c>
      <c r="F393" t="inlineStr">
        <is>
          <t>Nurse</t>
        </is>
      </c>
      <c r="G393" t="inlineStr">
        <is>
          <t>ED</t>
        </is>
      </c>
      <c r="H393" t="inlineStr">
        <is>
          <t>CaseD</t>
        </is>
      </c>
      <c r="I393" s="3" t="inlineStr">
        <is>
          <t>Clear structure and communication.</t>
        </is>
      </c>
      <c r="J393" s="3" t="inlineStr">
        <is>
          <t>Increase efficiency while maintaining safety checks.</t>
        </is>
      </c>
      <c r="K393" t="n">
        <v>0</v>
      </c>
    </row>
    <row r="394">
      <c r="A394" t="inlineStr">
        <is>
          <t>L013</t>
        </is>
      </c>
      <c r="B394" s="6" t="n">
        <v>46033</v>
      </c>
      <c r="C394" t="inlineStr">
        <is>
          <t>EPA06</t>
        </is>
      </c>
      <c r="D394" t="n">
        <v>4</v>
      </c>
      <c r="E394" t="inlineStr">
        <is>
          <t>A011</t>
        </is>
      </c>
      <c r="F394" t="inlineStr">
        <is>
          <t>Nurse</t>
        </is>
      </c>
      <c r="G394" t="inlineStr">
        <is>
          <t>Sim</t>
        </is>
      </c>
      <c r="H394" t="inlineStr">
        <is>
          <t>CaseF</t>
        </is>
      </c>
      <c r="I394" s="3" t="inlineStr">
        <is>
          <t>Professional and patient-centered approach.</t>
        </is>
      </c>
      <c r="J394" s="3" t="inlineStr">
        <is>
          <t>Clarify escalation criteria and communicate proactively.</t>
        </is>
      </c>
      <c r="K394" t="n">
        <v>0</v>
      </c>
    </row>
    <row r="395">
      <c r="A395" t="inlineStr">
        <is>
          <t>L013</t>
        </is>
      </c>
      <c r="B395" s="6" t="n">
        <v>46033</v>
      </c>
      <c r="C395" t="inlineStr">
        <is>
          <t>EPA07</t>
        </is>
      </c>
      <c r="D395" t="n">
        <v>3</v>
      </c>
      <c r="E395" t="inlineStr">
        <is>
          <t>A007</t>
        </is>
      </c>
      <c r="F395" t="inlineStr">
        <is>
          <t>Faculty</t>
        </is>
      </c>
      <c r="G395" t="inlineStr">
        <is>
          <t>OPD</t>
        </is>
      </c>
      <c r="H395" t="inlineStr">
        <is>
          <t>CaseC</t>
        </is>
      </c>
      <c r="I395" s="3" t="inlineStr">
        <is>
          <t>Professional and patient-centered approach.</t>
        </is>
      </c>
      <c r="J395" s="3" t="n"/>
      <c r="K395" t="n">
        <v>0</v>
      </c>
    </row>
    <row r="396">
      <c r="A396" t="inlineStr">
        <is>
          <t>L023</t>
        </is>
      </c>
      <c r="B396" s="6" t="n">
        <v>46027</v>
      </c>
      <c r="C396" t="inlineStr">
        <is>
          <t>EPA12</t>
        </is>
      </c>
      <c r="D396" t="n">
        <v>5</v>
      </c>
      <c r="E396" t="inlineStr">
        <is>
          <t>A011</t>
        </is>
      </c>
      <c r="F396" t="inlineStr">
        <is>
          <t>Nurse</t>
        </is>
      </c>
      <c r="G396" t="inlineStr">
        <is>
          <t>ICU</t>
        </is>
      </c>
      <c r="H396" t="inlineStr">
        <is>
          <t>CaseE</t>
        </is>
      </c>
      <c r="I396" s="3" t="inlineStr">
        <is>
          <t>Effective teamwork and closed-loop communication.</t>
        </is>
      </c>
      <c r="J396" s="3" t="n"/>
      <c r="K396" t="n">
        <v>0</v>
      </c>
    </row>
    <row r="397">
      <c r="A397" t="inlineStr">
        <is>
          <t>L008</t>
        </is>
      </c>
      <c r="B397" s="6" t="n">
        <v>45922</v>
      </c>
      <c r="C397" t="inlineStr">
        <is>
          <t>EPA10</t>
        </is>
      </c>
      <c r="D397" t="n">
        <v>4</v>
      </c>
      <c r="E397" t="inlineStr">
        <is>
          <t>A011</t>
        </is>
      </c>
      <c r="F397" t="inlineStr">
        <is>
          <t>Nurse</t>
        </is>
      </c>
      <c r="G397" t="inlineStr">
        <is>
          <t>OPD</t>
        </is>
      </c>
      <c r="H397" t="inlineStr">
        <is>
          <t>CaseB</t>
        </is>
      </c>
      <c r="I397" s="3" t="inlineStr">
        <is>
          <t>Appropriate prioritization and plan articulation.</t>
        </is>
      </c>
      <c r="J397" s="3" t="inlineStr">
        <is>
          <t>Broaden the differential diagnosis and justify choices.</t>
        </is>
      </c>
      <c r="K397" t="n">
        <v>0</v>
      </c>
    </row>
    <row r="398">
      <c r="A398" t="inlineStr">
        <is>
          <t>L015</t>
        </is>
      </c>
      <c r="B398" s="6" t="n">
        <v>45958</v>
      </c>
      <c r="C398" t="inlineStr">
        <is>
          <t>EPA08</t>
        </is>
      </c>
      <c r="D398" t="n">
        <v>4</v>
      </c>
      <c r="E398" t="inlineStr">
        <is>
          <t>A002</t>
        </is>
      </c>
      <c r="F398" t="inlineStr">
        <is>
          <t>Faculty</t>
        </is>
      </c>
      <c r="G398" t="inlineStr">
        <is>
          <t>Ward</t>
        </is>
      </c>
      <c r="H398" t="inlineStr">
        <is>
          <t>CaseG</t>
        </is>
      </c>
      <c r="I398" s="3" t="n"/>
      <c r="J398" s="3" t="n"/>
      <c r="K398" t="n">
        <v>0</v>
      </c>
    </row>
    <row r="399">
      <c r="A399" t="inlineStr">
        <is>
          <t>L007</t>
        </is>
      </c>
      <c r="B399" s="6" t="n">
        <v>45962</v>
      </c>
      <c r="C399" t="inlineStr">
        <is>
          <t>EPA10</t>
        </is>
      </c>
      <c r="D399" t="n">
        <v>3</v>
      </c>
      <c r="E399" t="inlineStr">
        <is>
          <t>A009</t>
        </is>
      </c>
      <c r="F399" t="inlineStr">
        <is>
          <t>AlliedHealth</t>
        </is>
      </c>
      <c r="G399" t="inlineStr">
        <is>
          <t>Ward</t>
        </is>
      </c>
      <c r="H399" t="inlineStr">
        <is>
          <t>CaseC</t>
        </is>
      </c>
      <c r="I399" s="3" t="inlineStr">
        <is>
          <t>Good clinical reasoning with key findings identified.</t>
        </is>
      </c>
      <c r="J399" s="3" t="inlineStr">
        <is>
          <t>Increase efficiency while maintaining safety checks.</t>
        </is>
      </c>
      <c r="K399" t="n">
        <v>0</v>
      </c>
    </row>
    <row r="400">
      <c r="A400" t="inlineStr">
        <is>
          <t>L021</t>
        </is>
      </c>
      <c r="B400" s="6" t="n">
        <v>45906</v>
      </c>
      <c r="C400" t="inlineStr">
        <is>
          <t>EPA12</t>
        </is>
      </c>
      <c r="D400" t="n">
        <v>4</v>
      </c>
      <c r="E400" t="inlineStr">
        <is>
          <t>A002</t>
        </is>
      </c>
      <c r="F400" t="inlineStr">
        <is>
          <t>Faculty</t>
        </is>
      </c>
      <c r="G400" t="inlineStr">
        <is>
          <t>ICU</t>
        </is>
      </c>
      <c r="H400" t="inlineStr">
        <is>
          <t>CaseC</t>
        </is>
      </c>
      <c r="I400" s="3" t="inlineStr">
        <is>
          <t>Professional and patient-centered approach.</t>
        </is>
      </c>
      <c r="J400" s="3" t="inlineStr">
        <is>
          <t>Broaden the differential diagnosis and justify choices.</t>
        </is>
      </c>
      <c r="K400" t="n">
        <v>0</v>
      </c>
    </row>
    <row r="401">
      <c r="A401" t="inlineStr">
        <is>
          <t>L007</t>
        </is>
      </c>
      <c r="B401" s="6" t="n">
        <v>45942</v>
      </c>
      <c r="C401" t="inlineStr">
        <is>
          <t>EPA07</t>
        </is>
      </c>
      <c r="D401" t="n">
        <v>2</v>
      </c>
      <c r="E401" t="inlineStr">
        <is>
          <t>A009</t>
        </is>
      </c>
      <c r="F401" t="inlineStr">
        <is>
          <t>AlliedHealth</t>
        </is>
      </c>
      <c r="G401" t="inlineStr">
        <is>
          <t>ICU</t>
        </is>
      </c>
      <c r="H401" t="inlineStr">
        <is>
          <t>CaseE</t>
        </is>
      </c>
      <c r="I401" s="3" t="inlineStr">
        <is>
          <t>Professional and patient-centered approach.</t>
        </is>
      </c>
      <c r="J401" s="3" t="inlineStr">
        <is>
          <t>Clarify escalation criteria and communicate proactively.</t>
        </is>
      </c>
      <c r="K401" t="n">
        <v>0</v>
      </c>
    </row>
    <row r="402">
      <c r="A402" t="inlineStr">
        <is>
          <t>L005</t>
        </is>
      </c>
      <c r="B402" s="6" t="n">
        <v>45942</v>
      </c>
      <c r="C402" t="inlineStr">
        <is>
          <t>EPA01</t>
        </is>
      </c>
      <c r="D402" t="n">
        <v>3</v>
      </c>
      <c r="E402" t="inlineStr">
        <is>
          <t>A013</t>
        </is>
      </c>
      <c r="F402" t="inlineStr">
        <is>
          <t>Nurse</t>
        </is>
      </c>
      <c r="G402" t="inlineStr">
        <is>
          <t>OR</t>
        </is>
      </c>
      <c r="H402" t="inlineStr">
        <is>
          <t>CaseD</t>
        </is>
      </c>
      <c r="I402" s="3" t="inlineStr">
        <is>
          <t>Clear structure and communication.</t>
        </is>
      </c>
      <c r="J402" s="3" t="inlineStr">
        <is>
          <t>Increase efficiency while maintaining safety checks.</t>
        </is>
      </c>
      <c r="K402" t="n">
        <v>0</v>
      </c>
    </row>
    <row r="403">
      <c r="A403" t="inlineStr">
        <is>
          <t>L014</t>
        </is>
      </c>
      <c r="B403" s="6" t="n">
        <v>46040</v>
      </c>
      <c r="C403" t="inlineStr">
        <is>
          <t>EPA03</t>
        </is>
      </c>
      <c r="D403" t="n">
        <v>4</v>
      </c>
      <c r="E403" t="inlineStr">
        <is>
          <t>A008</t>
        </is>
      </c>
      <c r="F403" t="inlineStr">
        <is>
          <t>AlliedHealth</t>
        </is>
      </c>
      <c r="G403" t="inlineStr">
        <is>
          <t>ED</t>
        </is>
      </c>
      <c r="H403" t="inlineStr">
        <is>
          <t>CaseE</t>
        </is>
      </c>
      <c r="I403" s="3" t="inlineStr">
        <is>
          <t>Appropriate prioritization and plan articulation.</t>
        </is>
      </c>
      <c r="J403" s="3" t="n"/>
      <c r="K403" t="n">
        <v>0</v>
      </c>
    </row>
    <row r="404">
      <c r="A404" t="inlineStr">
        <is>
          <t>L009</t>
        </is>
      </c>
      <c r="B404" s="6" t="n">
        <v>46016</v>
      </c>
      <c r="C404" t="inlineStr">
        <is>
          <t>EPA04</t>
        </is>
      </c>
      <c r="D404" t="n">
        <v>4</v>
      </c>
      <c r="E404" t="inlineStr">
        <is>
          <t>A014</t>
        </is>
      </c>
      <c r="F404" t="inlineStr">
        <is>
          <t>Faculty</t>
        </is>
      </c>
      <c r="G404" t="inlineStr">
        <is>
          <t>OR</t>
        </is>
      </c>
      <c r="H404" t="inlineStr">
        <is>
          <t>CaseB</t>
        </is>
      </c>
      <c r="I404" s="3" t="inlineStr">
        <is>
          <t>Good clinical reasoning with key findings identified.</t>
        </is>
      </c>
      <c r="J404" s="3" t="inlineStr">
        <is>
          <t>Clarify escalation criteria and communicate proactively.</t>
        </is>
      </c>
      <c r="K404" t="n">
        <v>0</v>
      </c>
    </row>
    <row r="405">
      <c r="A405" t="inlineStr">
        <is>
          <t>L003</t>
        </is>
      </c>
      <c r="B405" s="6" t="n">
        <v>45975</v>
      </c>
      <c r="C405" t="inlineStr">
        <is>
          <t>EPA11</t>
        </is>
      </c>
      <c r="D405" t="n">
        <v>3</v>
      </c>
      <c r="E405" t="inlineStr">
        <is>
          <t>A005</t>
        </is>
      </c>
      <c r="F405" t="inlineStr">
        <is>
          <t>Faculty</t>
        </is>
      </c>
      <c r="G405" t="inlineStr">
        <is>
          <t>OR</t>
        </is>
      </c>
      <c r="H405" t="inlineStr">
        <is>
          <t>CaseC</t>
        </is>
      </c>
      <c r="I405" s="3" t="n"/>
      <c r="J405" s="3" t="n"/>
      <c r="K405" t="n">
        <v>0</v>
      </c>
    </row>
    <row r="406">
      <c r="A406" t="inlineStr">
        <is>
          <t>L003</t>
        </is>
      </c>
      <c r="B406" s="6" t="n">
        <v>46072</v>
      </c>
      <c r="C406" t="inlineStr">
        <is>
          <t>EPA03</t>
        </is>
      </c>
      <c r="D406" t="n">
        <v>3</v>
      </c>
      <c r="E406" t="inlineStr">
        <is>
          <t>A003</t>
        </is>
      </c>
      <c r="F406" t="inlineStr">
        <is>
          <t>Faculty</t>
        </is>
      </c>
      <c r="G406" t="inlineStr">
        <is>
          <t>OR</t>
        </is>
      </c>
      <c r="H406" t="inlineStr">
        <is>
          <t>CaseB</t>
        </is>
      </c>
      <c r="I406" s="3" t="n"/>
      <c r="J406" s="3" t="n"/>
      <c r="K406" t="n">
        <v>0</v>
      </c>
    </row>
    <row r="407">
      <c r="A407" t="inlineStr">
        <is>
          <t>L001</t>
        </is>
      </c>
      <c r="B407" s="6" t="n">
        <v>45972</v>
      </c>
      <c r="C407" t="inlineStr">
        <is>
          <t>EPA08</t>
        </is>
      </c>
      <c r="D407" t="n">
        <v>4</v>
      </c>
      <c r="E407" t="inlineStr">
        <is>
          <t>A001</t>
        </is>
      </c>
      <c r="F407" t="inlineStr">
        <is>
          <t>Faculty</t>
        </is>
      </c>
      <c r="G407" t="inlineStr">
        <is>
          <t>OR</t>
        </is>
      </c>
      <c r="H407" t="inlineStr">
        <is>
          <t>CaseC</t>
        </is>
      </c>
      <c r="I407" s="3" t="inlineStr">
        <is>
          <t>Effective teamwork and closed-loop communication.</t>
        </is>
      </c>
      <c r="J407" s="3" t="n"/>
      <c r="K407" t="n">
        <v>0</v>
      </c>
    </row>
    <row r="408">
      <c r="A408" t="inlineStr">
        <is>
          <t>L019</t>
        </is>
      </c>
      <c r="B408" s="6" t="n">
        <v>46027</v>
      </c>
      <c r="C408" t="inlineStr">
        <is>
          <t>EPA11</t>
        </is>
      </c>
      <c r="D408" t="n">
        <v>3</v>
      </c>
      <c r="E408" t="inlineStr">
        <is>
          <t>A004</t>
        </is>
      </c>
      <c r="F408" t="inlineStr">
        <is>
          <t>Faculty</t>
        </is>
      </c>
      <c r="G408" t="inlineStr">
        <is>
          <t>Sim</t>
        </is>
      </c>
      <c r="H408" t="inlineStr">
        <is>
          <t>CaseA</t>
        </is>
      </c>
      <c r="I408" s="3" t="inlineStr">
        <is>
          <t>Professional and patient-centered approach.</t>
        </is>
      </c>
      <c r="J408" s="3" t="inlineStr">
        <is>
          <t>Clarify escalation criteria and communicate proactively.</t>
        </is>
      </c>
      <c r="K408" t="n">
        <v>0</v>
      </c>
    </row>
    <row r="409">
      <c r="A409" t="inlineStr">
        <is>
          <t>L005</t>
        </is>
      </c>
      <c r="B409" s="6" t="n">
        <v>45979</v>
      </c>
      <c r="C409" t="inlineStr">
        <is>
          <t>EPA06</t>
        </is>
      </c>
      <c r="D409" t="n">
        <v>2</v>
      </c>
      <c r="E409" t="inlineStr">
        <is>
          <t>A010</t>
        </is>
      </c>
      <c r="F409" t="inlineStr">
        <is>
          <t>Faculty</t>
        </is>
      </c>
      <c r="G409" t="inlineStr">
        <is>
          <t>ED</t>
        </is>
      </c>
      <c r="H409" t="inlineStr">
        <is>
          <t>CaseB</t>
        </is>
      </c>
      <c r="I409" s="3" t="n"/>
      <c r="J409" s="3" t="n"/>
      <c r="K409" t="n">
        <v>1</v>
      </c>
    </row>
    <row r="410">
      <c r="A410" t="inlineStr">
        <is>
          <t>L018</t>
        </is>
      </c>
      <c r="B410" s="6" t="n">
        <v>45908</v>
      </c>
      <c r="C410" t="inlineStr">
        <is>
          <t>EPA07</t>
        </is>
      </c>
      <c r="D410" t="n">
        <v>5</v>
      </c>
      <c r="E410" t="inlineStr">
        <is>
          <t>A002</t>
        </is>
      </c>
      <c r="F410" t="inlineStr">
        <is>
          <t>Faculty</t>
        </is>
      </c>
      <c r="G410" t="inlineStr">
        <is>
          <t>Ward</t>
        </is>
      </c>
      <c r="H410" t="inlineStr">
        <is>
          <t>CaseB</t>
        </is>
      </c>
      <c r="I410" s="3" t="n"/>
      <c r="J410" s="3" t="n"/>
      <c r="K410" t="n">
        <v>0</v>
      </c>
    </row>
    <row r="411">
      <c r="A411" t="inlineStr">
        <is>
          <t>L015</t>
        </is>
      </c>
      <c r="B411" s="6" t="n">
        <v>46067</v>
      </c>
      <c r="C411" t="inlineStr">
        <is>
          <t>EPA03</t>
        </is>
      </c>
      <c r="D411" t="n">
        <v>4</v>
      </c>
      <c r="E411" t="inlineStr">
        <is>
          <t>A009</t>
        </is>
      </c>
      <c r="F411" t="inlineStr">
        <is>
          <t>AlliedHealth</t>
        </is>
      </c>
      <c r="G411" t="inlineStr">
        <is>
          <t>OPD</t>
        </is>
      </c>
      <c r="H411" t="inlineStr">
        <is>
          <t>CaseB</t>
        </is>
      </c>
      <c r="I411" s="3" t="inlineStr">
        <is>
          <t>Appropriate prioritization and plan articulation.</t>
        </is>
      </c>
      <c r="J411" s="3" t="inlineStr">
        <is>
          <t>Be more concise and state the plan earlier.</t>
        </is>
      </c>
      <c r="K411" t="n">
        <v>0</v>
      </c>
    </row>
    <row r="412">
      <c r="A412" t="inlineStr">
        <is>
          <t>L011</t>
        </is>
      </c>
      <c r="B412" s="6" t="n">
        <v>46007</v>
      </c>
      <c r="C412" t="inlineStr">
        <is>
          <t>EPA06</t>
        </is>
      </c>
      <c r="D412" t="n">
        <v>1</v>
      </c>
      <c r="E412" t="inlineStr">
        <is>
          <t>A005</t>
        </is>
      </c>
      <c r="F412" t="inlineStr">
        <is>
          <t>Faculty</t>
        </is>
      </c>
      <c r="G412" t="inlineStr">
        <is>
          <t>Sim</t>
        </is>
      </c>
      <c r="H412" t="inlineStr">
        <is>
          <t>CaseD</t>
        </is>
      </c>
      <c r="I412" s="3" t="n"/>
      <c r="J412" s="3" t="n"/>
      <c r="K412" t="n">
        <v>0</v>
      </c>
    </row>
    <row r="413">
      <c r="A413" t="inlineStr">
        <is>
          <t>L003</t>
        </is>
      </c>
      <c r="B413" s="6" t="n">
        <v>45907</v>
      </c>
      <c r="C413" t="inlineStr">
        <is>
          <t>EPA12</t>
        </is>
      </c>
      <c r="D413" t="n">
        <v>4</v>
      </c>
      <c r="E413" t="inlineStr">
        <is>
          <t>A011</t>
        </is>
      </c>
      <c r="F413" t="inlineStr">
        <is>
          <t>Nurse</t>
        </is>
      </c>
      <c r="G413" t="inlineStr">
        <is>
          <t>Sim</t>
        </is>
      </c>
      <c r="H413" t="inlineStr">
        <is>
          <t>CaseE</t>
        </is>
      </c>
      <c r="I413" s="3" t="n"/>
      <c r="J413" s="3" t="n"/>
      <c r="K413" t="n">
        <v>0</v>
      </c>
    </row>
    <row r="414">
      <c r="A414" t="inlineStr">
        <is>
          <t>L018</t>
        </is>
      </c>
      <c r="B414" s="6" t="n">
        <v>45936</v>
      </c>
      <c r="C414" t="inlineStr">
        <is>
          <t>EPA09</t>
        </is>
      </c>
      <c r="D414" t="n">
        <v>3</v>
      </c>
      <c r="E414" t="inlineStr">
        <is>
          <t>A015</t>
        </is>
      </c>
      <c r="F414" t="inlineStr">
        <is>
          <t>Faculty</t>
        </is>
      </c>
      <c r="G414" t="inlineStr">
        <is>
          <t>Sim</t>
        </is>
      </c>
      <c r="H414" t="inlineStr">
        <is>
          <t>CaseA</t>
        </is>
      </c>
      <c r="I414" s="3" t="inlineStr">
        <is>
          <t>Effective teamwork and closed-loop communication.</t>
        </is>
      </c>
      <c r="J414" s="3" t="inlineStr">
        <is>
          <t>Clarify escalation criteria and communicate proactively.</t>
        </is>
      </c>
      <c r="K414" t="n">
        <v>0</v>
      </c>
    </row>
    <row r="415">
      <c r="A415" t="inlineStr">
        <is>
          <t>L015</t>
        </is>
      </c>
      <c r="B415" s="6" t="n">
        <v>46013</v>
      </c>
      <c r="C415" t="inlineStr">
        <is>
          <t>EPA09</t>
        </is>
      </c>
      <c r="D415" t="n">
        <v>5</v>
      </c>
      <c r="E415" t="inlineStr">
        <is>
          <t>A004</t>
        </is>
      </c>
      <c r="F415" t="inlineStr">
        <is>
          <t>Faculty</t>
        </is>
      </c>
      <c r="G415" t="inlineStr">
        <is>
          <t>ICU</t>
        </is>
      </c>
      <c r="H415" t="inlineStr">
        <is>
          <t>CaseF</t>
        </is>
      </c>
      <c r="I415" s="3" t="n"/>
      <c r="J415" s="3" t="n"/>
      <c r="K415" t="n">
        <v>0</v>
      </c>
    </row>
    <row r="416">
      <c r="A416" t="inlineStr">
        <is>
          <t>L005</t>
        </is>
      </c>
      <c r="B416" s="6" t="n">
        <v>45990</v>
      </c>
      <c r="C416" t="inlineStr">
        <is>
          <t>EPA01</t>
        </is>
      </c>
      <c r="D416" t="n">
        <v>3</v>
      </c>
      <c r="E416" t="inlineStr">
        <is>
          <t>A005</t>
        </is>
      </c>
      <c r="F416" t="inlineStr">
        <is>
          <t>Faculty</t>
        </is>
      </c>
      <c r="G416" t="inlineStr">
        <is>
          <t>Ward</t>
        </is>
      </c>
      <c r="H416" t="inlineStr">
        <is>
          <t>CaseG</t>
        </is>
      </c>
      <c r="I416" s="3" t="n"/>
      <c r="J416" s="3" t="n"/>
      <c r="K416" t="n">
        <v>0</v>
      </c>
    </row>
    <row r="417">
      <c r="A417" t="inlineStr">
        <is>
          <t>L006</t>
        </is>
      </c>
      <c r="B417" s="6" t="n">
        <v>45956</v>
      </c>
      <c r="C417" t="inlineStr">
        <is>
          <t>EPA01</t>
        </is>
      </c>
      <c r="D417" t="n">
        <v>3</v>
      </c>
      <c r="E417" t="inlineStr">
        <is>
          <t>A002</t>
        </is>
      </c>
      <c r="F417" t="inlineStr">
        <is>
          <t>Faculty</t>
        </is>
      </c>
      <c r="G417" t="inlineStr">
        <is>
          <t>OPD</t>
        </is>
      </c>
      <c r="H417" t="inlineStr">
        <is>
          <t>CaseA</t>
        </is>
      </c>
      <c r="I417" s="3" t="inlineStr">
        <is>
          <t>Good clinical reasoning with key findings identified.</t>
        </is>
      </c>
      <c r="J417" s="3" t="inlineStr">
        <is>
          <t>Document key times and decisions more clearly.</t>
        </is>
      </c>
      <c r="K417" t="n">
        <v>0</v>
      </c>
    </row>
    <row r="418">
      <c r="A418" t="inlineStr">
        <is>
          <t>L013</t>
        </is>
      </c>
      <c r="B418" s="6" t="n">
        <v>46066</v>
      </c>
      <c r="C418" t="inlineStr">
        <is>
          <t>EPA01</t>
        </is>
      </c>
      <c r="D418" t="n">
        <v>4</v>
      </c>
      <c r="E418" t="inlineStr">
        <is>
          <t>A012</t>
        </is>
      </c>
      <c r="F418" t="inlineStr">
        <is>
          <t>Faculty</t>
        </is>
      </c>
      <c r="G418" t="inlineStr">
        <is>
          <t>Ward</t>
        </is>
      </c>
      <c r="H418" t="inlineStr">
        <is>
          <t>CaseC</t>
        </is>
      </c>
      <c r="I418" s="3" t="inlineStr">
        <is>
          <t>Effective teamwork and closed-loop communication.</t>
        </is>
      </c>
      <c r="J418" s="3" t="n"/>
      <c r="K418" t="n">
        <v>0</v>
      </c>
    </row>
    <row r="419">
      <c r="A419" t="inlineStr">
        <is>
          <t>L023</t>
        </is>
      </c>
      <c r="B419" s="6" t="n">
        <v>45928</v>
      </c>
      <c r="C419" t="inlineStr">
        <is>
          <t>EPA11</t>
        </is>
      </c>
      <c r="D419" t="n">
        <v>4</v>
      </c>
      <c r="E419" t="inlineStr">
        <is>
          <t>A008</t>
        </is>
      </c>
      <c r="F419" t="inlineStr">
        <is>
          <t>AlliedHealth</t>
        </is>
      </c>
      <c r="G419" t="inlineStr">
        <is>
          <t>OR</t>
        </is>
      </c>
      <c r="H419" t="inlineStr">
        <is>
          <t>CaseE</t>
        </is>
      </c>
      <c r="I419" s="3" t="inlineStr">
        <is>
          <t>Effective teamwork and closed-loop communication.</t>
        </is>
      </c>
      <c r="J419" s="3" t="inlineStr">
        <is>
          <t>Be more concise and state the plan earlier.</t>
        </is>
      </c>
      <c r="K419" t="n">
        <v>0</v>
      </c>
    </row>
    <row r="420">
      <c r="A420" t="inlineStr">
        <is>
          <t>L020</t>
        </is>
      </c>
      <c r="B420" s="6" t="n">
        <v>46063</v>
      </c>
      <c r="C420" t="inlineStr">
        <is>
          <t>EPA05</t>
        </is>
      </c>
      <c r="D420" t="n">
        <v>4</v>
      </c>
      <c r="E420" t="inlineStr">
        <is>
          <t>A002</t>
        </is>
      </c>
      <c r="F420" t="inlineStr">
        <is>
          <t>Faculty</t>
        </is>
      </c>
      <c r="G420" t="inlineStr">
        <is>
          <t>ICU</t>
        </is>
      </c>
      <c r="H420" t="inlineStr">
        <is>
          <t>CaseD</t>
        </is>
      </c>
      <c r="I420" s="3" t="inlineStr">
        <is>
          <t>Good clinical reasoning with key findings identified.</t>
        </is>
      </c>
      <c r="J420" s="3" t="inlineStr">
        <is>
          <t>Clarify escalation criteria and communicate proactively.</t>
        </is>
      </c>
      <c r="K420" t="n">
        <v>0</v>
      </c>
    </row>
    <row r="421">
      <c r="A421" t="inlineStr">
        <is>
          <t>L009</t>
        </is>
      </c>
      <c r="B421" s="6" t="n">
        <v>45942</v>
      </c>
      <c r="C421" t="inlineStr">
        <is>
          <t>EPA11</t>
        </is>
      </c>
      <c r="D421" t="n">
        <v>4</v>
      </c>
      <c r="E421" t="inlineStr">
        <is>
          <t>A008</t>
        </is>
      </c>
      <c r="F421" t="inlineStr">
        <is>
          <t>AlliedHealth</t>
        </is>
      </c>
      <c r="G421" t="inlineStr">
        <is>
          <t>ICU</t>
        </is>
      </c>
      <c r="H421" t="inlineStr">
        <is>
          <t>CaseG</t>
        </is>
      </c>
      <c r="I421" s="3" t="inlineStr">
        <is>
          <t>Effective teamwork and closed-loop communication.</t>
        </is>
      </c>
      <c r="J421" s="3" t="inlineStr">
        <is>
          <t>Be more concise and state the plan earlier.</t>
        </is>
      </c>
      <c r="K421" t="n">
        <v>0</v>
      </c>
    </row>
    <row r="422">
      <c r="A422" t="inlineStr">
        <is>
          <t>L008</t>
        </is>
      </c>
      <c r="B422" s="6" t="n">
        <v>46046</v>
      </c>
      <c r="C422" t="inlineStr">
        <is>
          <t>EPA01</t>
        </is>
      </c>
      <c r="D422" t="n">
        <v>4</v>
      </c>
      <c r="E422" t="inlineStr">
        <is>
          <t>A010</t>
        </is>
      </c>
      <c r="F422" t="inlineStr">
        <is>
          <t>Faculty</t>
        </is>
      </c>
      <c r="G422" t="inlineStr">
        <is>
          <t>Sim</t>
        </is>
      </c>
      <c r="H422" t="inlineStr">
        <is>
          <t>CaseC</t>
        </is>
      </c>
      <c r="I422" s="3" t="inlineStr">
        <is>
          <t>Clear structure and communication.</t>
        </is>
      </c>
      <c r="J422" s="3" t="inlineStr">
        <is>
          <t>Clarify escalation criteria and communicate proactively.</t>
        </is>
      </c>
      <c r="K422" t="n">
        <v>0</v>
      </c>
    </row>
    <row r="423">
      <c r="A423" t="inlineStr">
        <is>
          <t>L015</t>
        </is>
      </c>
      <c r="B423" s="6" t="n">
        <v>46030</v>
      </c>
      <c r="C423" t="inlineStr">
        <is>
          <t>EPA03</t>
        </is>
      </c>
      <c r="D423" t="n">
        <v>5</v>
      </c>
      <c r="E423" t="inlineStr">
        <is>
          <t>A008</t>
        </is>
      </c>
      <c r="F423" t="inlineStr">
        <is>
          <t>AlliedHealth</t>
        </is>
      </c>
      <c r="G423" t="inlineStr">
        <is>
          <t>OPD</t>
        </is>
      </c>
      <c r="H423" t="inlineStr">
        <is>
          <t>CaseA</t>
        </is>
      </c>
      <c r="I423" s="3" t="inlineStr">
        <is>
          <t>Appropriate prioritization and plan articulation.</t>
        </is>
      </c>
      <c r="J423" s="3" t="inlineStr">
        <is>
          <t>Be more concise and state the plan earlier.</t>
        </is>
      </c>
      <c r="K423" t="n">
        <v>0</v>
      </c>
    </row>
    <row r="424">
      <c r="A424" t="inlineStr">
        <is>
          <t>L023</t>
        </is>
      </c>
      <c r="B424" s="6" t="n">
        <v>45966</v>
      </c>
      <c r="C424" t="inlineStr">
        <is>
          <t>EPA12</t>
        </is>
      </c>
      <c r="D424" t="n">
        <v>3</v>
      </c>
      <c r="E424" t="inlineStr">
        <is>
          <t>A003</t>
        </is>
      </c>
      <c r="F424" t="inlineStr">
        <is>
          <t>Faculty</t>
        </is>
      </c>
      <c r="G424" t="inlineStr">
        <is>
          <t>ED</t>
        </is>
      </c>
      <c r="H424" t="inlineStr">
        <is>
          <t>CaseB</t>
        </is>
      </c>
      <c r="I424" s="3" t="inlineStr">
        <is>
          <t>Appropriate prioritization and plan articulation.</t>
        </is>
      </c>
      <c r="J424" s="3" t="inlineStr">
        <is>
          <t>Clarify escalation criteria and communicate proactively.</t>
        </is>
      </c>
      <c r="K424" t="n">
        <v>0</v>
      </c>
    </row>
    <row r="425">
      <c r="A425" t="inlineStr">
        <is>
          <t>L024</t>
        </is>
      </c>
      <c r="B425" s="6" t="n">
        <v>45963</v>
      </c>
      <c r="C425" t="inlineStr">
        <is>
          <t>EPA12</t>
        </is>
      </c>
      <c r="D425" t="n">
        <v>4</v>
      </c>
      <c r="E425" t="inlineStr">
        <is>
          <t>A007</t>
        </is>
      </c>
      <c r="F425" t="inlineStr">
        <is>
          <t>Faculty</t>
        </is>
      </c>
      <c r="G425" t="inlineStr">
        <is>
          <t>OPD</t>
        </is>
      </c>
      <c r="H425" t="inlineStr">
        <is>
          <t>CaseF</t>
        </is>
      </c>
      <c r="I425" s="3" t="inlineStr">
        <is>
          <t>Effective teamwork and closed-loop communication.</t>
        </is>
      </c>
      <c r="J425" s="3" t="n"/>
      <c r="K425" t="n">
        <v>0</v>
      </c>
    </row>
    <row r="426">
      <c r="A426" t="inlineStr">
        <is>
          <t>L003</t>
        </is>
      </c>
      <c r="B426" s="6" t="n">
        <v>46001</v>
      </c>
      <c r="C426" t="inlineStr">
        <is>
          <t>EPA09</t>
        </is>
      </c>
      <c r="D426" t="n">
        <v>3</v>
      </c>
      <c r="E426" t="inlineStr">
        <is>
          <t>A009</t>
        </is>
      </c>
      <c r="F426" t="inlineStr">
        <is>
          <t>AlliedHealth</t>
        </is>
      </c>
      <c r="G426" t="inlineStr">
        <is>
          <t>ICU</t>
        </is>
      </c>
      <c r="H426" t="inlineStr">
        <is>
          <t>CaseD</t>
        </is>
      </c>
      <c r="I426" s="3" t="inlineStr">
        <is>
          <t>Good clinical reasoning with key findings identified.</t>
        </is>
      </c>
      <c r="J426" s="3" t="n"/>
      <c r="K426" t="n">
        <v>0</v>
      </c>
    </row>
    <row r="427">
      <c r="A427" t="inlineStr">
        <is>
          <t>L021</t>
        </is>
      </c>
      <c r="B427" s="6" t="n">
        <v>46065</v>
      </c>
      <c r="C427" t="inlineStr">
        <is>
          <t>EPA07</t>
        </is>
      </c>
      <c r="D427" t="n">
        <v>3</v>
      </c>
      <c r="E427" t="inlineStr">
        <is>
          <t>A007</t>
        </is>
      </c>
      <c r="F427" t="inlineStr">
        <is>
          <t>Faculty</t>
        </is>
      </c>
      <c r="G427" t="inlineStr">
        <is>
          <t>ICU</t>
        </is>
      </c>
      <c r="H427" t="inlineStr">
        <is>
          <t>CaseD</t>
        </is>
      </c>
      <c r="I427" s="3" t="n"/>
      <c r="J427" s="3" t="n"/>
      <c r="K427" t="n">
        <v>0</v>
      </c>
    </row>
    <row r="428">
      <c r="A428" t="inlineStr">
        <is>
          <t>L003</t>
        </is>
      </c>
      <c r="B428" s="6" t="n">
        <v>45953</v>
      </c>
      <c r="C428" t="inlineStr">
        <is>
          <t>EPA09</t>
        </is>
      </c>
      <c r="D428" t="n">
        <v>4</v>
      </c>
      <c r="E428" t="inlineStr">
        <is>
          <t>A007</t>
        </is>
      </c>
      <c r="F428" t="inlineStr">
        <is>
          <t>Faculty</t>
        </is>
      </c>
      <c r="G428" t="inlineStr">
        <is>
          <t>ICU</t>
        </is>
      </c>
      <c r="H428" t="inlineStr">
        <is>
          <t>CaseE</t>
        </is>
      </c>
      <c r="I428" s="3" t="inlineStr">
        <is>
          <t>Clear structure and communication.</t>
        </is>
      </c>
      <c r="J428" s="3" t="inlineStr">
        <is>
          <t>Clarify escalation criteria and communicate proactively.</t>
        </is>
      </c>
      <c r="K428" t="n">
        <v>0</v>
      </c>
    </row>
    <row r="429">
      <c r="A429" t="inlineStr">
        <is>
          <t>L011</t>
        </is>
      </c>
      <c r="B429" s="6" t="n">
        <v>45989</v>
      </c>
      <c r="C429" t="inlineStr">
        <is>
          <t>EPA05</t>
        </is>
      </c>
      <c r="D429" t="n">
        <v>2</v>
      </c>
      <c r="E429" t="inlineStr">
        <is>
          <t>A007</t>
        </is>
      </c>
      <c r="F429" t="inlineStr">
        <is>
          <t>Faculty</t>
        </is>
      </c>
      <c r="G429" t="inlineStr">
        <is>
          <t>ED</t>
        </is>
      </c>
      <c r="H429" t="inlineStr">
        <is>
          <t>CaseA</t>
        </is>
      </c>
      <c r="I429" s="3" t="inlineStr">
        <is>
          <t>Clear structure and communication.</t>
        </is>
      </c>
      <c r="J429" s="3" t="n"/>
      <c r="K429" t="n">
        <v>0</v>
      </c>
    </row>
    <row r="430">
      <c r="A430" t="inlineStr">
        <is>
          <t>L013</t>
        </is>
      </c>
      <c r="B430" s="6" t="n">
        <v>45917</v>
      </c>
      <c r="C430" t="inlineStr">
        <is>
          <t>EPA03</t>
        </is>
      </c>
      <c r="D430" t="n">
        <v>3</v>
      </c>
      <c r="E430" t="inlineStr">
        <is>
          <t>A003</t>
        </is>
      </c>
      <c r="F430" t="inlineStr">
        <is>
          <t>Faculty</t>
        </is>
      </c>
      <c r="G430" t="inlineStr">
        <is>
          <t>OR</t>
        </is>
      </c>
      <c r="H430" t="inlineStr">
        <is>
          <t>CaseC</t>
        </is>
      </c>
      <c r="I430" s="3" t="inlineStr">
        <is>
          <t>Professional and patient-centered approach.</t>
        </is>
      </c>
      <c r="J430" s="3" t="inlineStr">
        <is>
          <t>Clarify escalation criteria and communicate proactively.</t>
        </is>
      </c>
      <c r="K430" t="n">
        <v>0</v>
      </c>
    </row>
    <row r="431">
      <c r="A431" t="inlineStr">
        <is>
          <t>L021</t>
        </is>
      </c>
      <c r="B431" s="6" t="n">
        <v>46050</v>
      </c>
      <c r="C431" t="inlineStr">
        <is>
          <t>EPA04</t>
        </is>
      </c>
      <c r="D431" t="n">
        <v>5</v>
      </c>
      <c r="E431" t="inlineStr">
        <is>
          <t>A006</t>
        </is>
      </c>
      <c r="F431" t="inlineStr">
        <is>
          <t>Faculty</t>
        </is>
      </c>
      <c r="G431" t="inlineStr">
        <is>
          <t>ICU</t>
        </is>
      </c>
      <c r="H431" t="inlineStr">
        <is>
          <t>CaseB</t>
        </is>
      </c>
      <c r="I431" s="3" t="inlineStr">
        <is>
          <t>Appropriate prioritization and plan articulation.</t>
        </is>
      </c>
      <c r="J431" s="3" t="inlineStr">
        <is>
          <t>Document key times and decisions more clearly.</t>
        </is>
      </c>
      <c r="K431" t="n">
        <v>0</v>
      </c>
    </row>
    <row r="432">
      <c r="A432" t="inlineStr">
        <is>
          <t>L007</t>
        </is>
      </c>
      <c r="B432" s="6" t="n">
        <v>45922</v>
      </c>
      <c r="C432" t="inlineStr">
        <is>
          <t>EPA08</t>
        </is>
      </c>
      <c r="D432" t="n">
        <v>3</v>
      </c>
      <c r="E432" t="inlineStr">
        <is>
          <t>A004</t>
        </is>
      </c>
      <c r="F432" t="inlineStr">
        <is>
          <t>Faculty</t>
        </is>
      </c>
      <c r="G432" t="inlineStr">
        <is>
          <t>OPD</t>
        </is>
      </c>
      <c r="H432" t="inlineStr">
        <is>
          <t>CaseF</t>
        </is>
      </c>
      <c r="I432" s="3" t="n"/>
      <c r="J432" s="3" t="n"/>
      <c r="K432" t="n">
        <v>0</v>
      </c>
    </row>
    <row r="433">
      <c r="A433" t="inlineStr">
        <is>
          <t>L006</t>
        </is>
      </c>
      <c r="B433" s="6" t="n">
        <v>46017</v>
      </c>
      <c r="C433" t="inlineStr">
        <is>
          <t>EPA03</t>
        </is>
      </c>
      <c r="D433" t="n">
        <v>3</v>
      </c>
      <c r="E433" t="inlineStr">
        <is>
          <t>A014</t>
        </is>
      </c>
      <c r="F433" t="inlineStr">
        <is>
          <t>Faculty</t>
        </is>
      </c>
      <c r="G433" t="inlineStr">
        <is>
          <t>OR</t>
        </is>
      </c>
      <c r="H433" t="inlineStr">
        <is>
          <t>CaseA</t>
        </is>
      </c>
      <c r="I433" s="3" t="inlineStr">
        <is>
          <t>Clear structure and communication.</t>
        </is>
      </c>
      <c r="J433" s="3" t="inlineStr">
        <is>
          <t>Be more concise and state the plan earlier.</t>
        </is>
      </c>
      <c r="K433" t="n">
        <v>0</v>
      </c>
    </row>
    <row r="434">
      <c r="A434" t="inlineStr">
        <is>
          <t>L015</t>
        </is>
      </c>
      <c r="B434" s="6" t="n">
        <v>45942</v>
      </c>
      <c r="C434" t="inlineStr">
        <is>
          <t>EPA12</t>
        </is>
      </c>
      <c r="D434" t="n">
        <v>3</v>
      </c>
      <c r="E434" t="inlineStr">
        <is>
          <t>A011</t>
        </is>
      </c>
      <c r="F434" t="inlineStr">
        <is>
          <t>Nurse</t>
        </is>
      </c>
      <c r="G434" t="inlineStr">
        <is>
          <t>Sim</t>
        </is>
      </c>
      <c r="H434" t="inlineStr">
        <is>
          <t>CaseA</t>
        </is>
      </c>
      <c r="I434" s="3" t="inlineStr">
        <is>
          <t>Professional and patient-centered approach.</t>
        </is>
      </c>
      <c r="J434" s="3" t="inlineStr">
        <is>
          <t>Broaden the differential diagnosis and justify choices.</t>
        </is>
      </c>
      <c r="K434" t="n">
        <v>0</v>
      </c>
    </row>
    <row r="435">
      <c r="A435" t="inlineStr">
        <is>
          <t>L007</t>
        </is>
      </c>
      <c r="B435" s="6" t="n">
        <v>46069</v>
      </c>
      <c r="C435" t="inlineStr">
        <is>
          <t>EPA12</t>
        </is>
      </c>
      <c r="D435" t="n">
        <v>4</v>
      </c>
      <c r="E435" t="inlineStr">
        <is>
          <t>A009</t>
        </is>
      </c>
      <c r="F435" t="inlineStr">
        <is>
          <t>AlliedHealth</t>
        </is>
      </c>
      <c r="G435" t="inlineStr">
        <is>
          <t>Ward</t>
        </is>
      </c>
      <c r="H435" t="inlineStr">
        <is>
          <t>CaseA</t>
        </is>
      </c>
      <c r="I435" s="3" t="n"/>
      <c r="J435" s="3" t="n"/>
      <c r="K435" t="n">
        <v>0</v>
      </c>
    </row>
    <row r="436">
      <c r="A436" t="inlineStr">
        <is>
          <t>L001</t>
        </is>
      </c>
      <c r="B436" s="6" t="n">
        <v>46001</v>
      </c>
      <c r="C436" t="inlineStr">
        <is>
          <t>EPA12</t>
        </is>
      </c>
      <c r="D436" t="n">
        <v>4</v>
      </c>
      <c r="E436" t="inlineStr">
        <is>
          <t>A009</t>
        </is>
      </c>
      <c r="F436" t="inlineStr">
        <is>
          <t>AlliedHealth</t>
        </is>
      </c>
      <c r="G436" t="inlineStr">
        <is>
          <t>Ward</t>
        </is>
      </c>
      <c r="H436" t="inlineStr">
        <is>
          <t>CaseB</t>
        </is>
      </c>
      <c r="I436" s="3" t="inlineStr">
        <is>
          <t>Professional and patient-centered approach.</t>
        </is>
      </c>
      <c r="J436" s="3" t="inlineStr">
        <is>
          <t>Be more concise and state the plan earlier.</t>
        </is>
      </c>
      <c r="K436" t="n">
        <v>0</v>
      </c>
    </row>
    <row r="437">
      <c r="A437" t="inlineStr">
        <is>
          <t>L019</t>
        </is>
      </c>
      <c r="B437" s="6" t="n">
        <v>45958</v>
      </c>
      <c r="C437" t="inlineStr">
        <is>
          <t>EPA11</t>
        </is>
      </c>
      <c r="D437" t="n">
        <v>3</v>
      </c>
      <c r="E437" t="inlineStr">
        <is>
          <t>A015</t>
        </is>
      </c>
      <c r="F437" t="inlineStr">
        <is>
          <t>Faculty</t>
        </is>
      </c>
      <c r="G437" t="inlineStr">
        <is>
          <t>OPD</t>
        </is>
      </c>
      <c r="H437" t="inlineStr">
        <is>
          <t>CaseF</t>
        </is>
      </c>
      <c r="I437" s="3" t="inlineStr">
        <is>
          <t>Clear structure and communication.</t>
        </is>
      </c>
      <c r="J437" s="3" t="inlineStr">
        <is>
          <t>Clarify escalation criteria and communicate proactively.</t>
        </is>
      </c>
      <c r="K437" t="n">
        <v>0</v>
      </c>
    </row>
    <row r="438">
      <c r="A438" t="inlineStr">
        <is>
          <t>L010</t>
        </is>
      </c>
      <c r="B438" s="6" t="n">
        <v>45995</v>
      </c>
      <c r="C438" t="inlineStr">
        <is>
          <t>EPA05</t>
        </is>
      </c>
      <c r="D438" t="n">
        <v>4</v>
      </c>
      <c r="E438" t="inlineStr">
        <is>
          <t>A009</t>
        </is>
      </c>
      <c r="F438" t="inlineStr">
        <is>
          <t>AlliedHealth</t>
        </is>
      </c>
      <c r="G438" t="inlineStr">
        <is>
          <t>ICU</t>
        </is>
      </c>
      <c r="H438" t="inlineStr">
        <is>
          <t>CaseE</t>
        </is>
      </c>
      <c r="I438" s="3" t="n"/>
      <c r="J438" s="3" t="n"/>
      <c r="K438" t="n">
        <v>0</v>
      </c>
    </row>
    <row r="439">
      <c r="A439" t="inlineStr">
        <is>
          <t>L023</t>
        </is>
      </c>
      <c r="B439" s="6" t="n">
        <v>46063</v>
      </c>
      <c r="C439" t="inlineStr">
        <is>
          <t>EPA08</t>
        </is>
      </c>
      <c r="D439" t="n">
        <v>4</v>
      </c>
      <c r="E439" t="inlineStr">
        <is>
          <t>A007</t>
        </is>
      </c>
      <c r="F439" t="inlineStr">
        <is>
          <t>Faculty</t>
        </is>
      </c>
      <c r="G439" t="inlineStr">
        <is>
          <t>Ward</t>
        </is>
      </c>
      <c r="H439" t="inlineStr">
        <is>
          <t>CaseG</t>
        </is>
      </c>
      <c r="I439" s="3" t="inlineStr">
        <is>
          <t>Appropriate prioritization and plan articulation.</t>
        </is>
      </c>
      <c r="J439" s="3" t="inlineStr">
        <is>
          <t>Increase efficiency while maintaining safety checks.</t>
        </is>
      </c>
      <c r="K439" t="n">
        <v>0</v>
      </c>
    </row>
    <row r="440">
      <c r="A440" t="inlineStr">
        <is>
          <t>L019</t>
        </is>
      </c>
      <c r="B440" s="6" t="n">
        <v>45992</v>
      </c>
      <c r="C440" t="inlineStr">
        <is>
          <t>EPA10</t>
        </is>
      </c>
      <c r="D440" t="n">
        <v>3</v>
      </c>
      <c r="E440" t="inlineStr">
        <is>
          <t>A014</t>
        </is>
      </c>
      <c r="F440" t="inlineStr">
        <is>
          <t>Faculty</t>
        </is>
      </c>
      <c r="G440" t="inlineStr">
        <is>
          <t>ED</t>
        </is>
      </c>
      <c r="H440" t="inlineStr">
        <is>
          <t>CaseF</t>
        </is>
      </c>
      <c r="I440" s="3" t="inlineStr">
        <is>
          <t>Clear structure and communication.</t>
        </is>
      </c>
      <c r="J440" s="3" t="inlineStr">
        <is>
          <t>Document key times and decisions more clearly.</t>
        </is>
      </c>
      <c r="K440" t="n">
        <v>0</v>
      </c>
    </row>
    <row r="441">
      <c r="A441" t="inlineStr">
        <is>
          <t>L009</t>
        </is>
      </c>
      <c r="B441" s="6" t="n">
        <v>45947</v>
      </c>
      <c r="C441" t="inlineStr">
        <is>
          <t>EPA10</t>
        </is>
      </c>
      <c r="D441" t="n">
        <v>3</v>
      </c>
      <c r="E441" t="inlineStr">
        <is>
          <t>A003</t>
        </is>
      </c>
      <c r="F441" t="inlineStr">
        <is>
          <t>Faculty</t>
        </is>
      </c>
      <c r="G441" t="inlineStr">
        <is>
          <t>OR</t>
        </is>
      </c>
      <c r="H441" t="inlineStr">
        <is>
          <t>CaseE</t>
        </is>
      </c>
      <c r="I441" s="3" t="inlineStr">
        <is>
          <t>Clear structure and communication.</t>
        </is>
      </c>
      <c r="J441" s="3" t="inlineStr">
        <is>
          <t>Document key times and decisions more clearly.</t>
        </is>
      </c>
      <c r="K441" t="n">
        <v>0</v>
      </c>
    </row>
    <row r="442">
      <c r="A442" t="inlineStr">
        <is>
          <t>L004</t>
        </is>
      </c>
      <c r="B442" s="6" t="n">
        <v>46026</v>
      </c>
      <c r="C442" t="inlineStr">
        <is>
          <t>EPA11</t>
        </is>
      </c>
      <c r="D442" t="n">
        <v>4</v>
      </c>
      <c r="E442" t="inlineStr">
        <is>
          <t>A009</t>
        </is>
      </c>
      <c r="F442" t="inlineStr">
        <is>
          <t>AlliedHealth</t>
        </is>
      </c>
      <c r="G442" t="inlineStr">
        <is>
          <t>OPD</t>
        </is>
      </c>
      <c r="H442" t="inlineStr">
        <is>
          <t>CaseF</t>
        </is>
      </c>
      <c r="I442" s="3" t="inlineStr">
        <is>
          <t>Clear structure and communication.</t>
        </is>
      </c>
      <c r="J442" s="3" t="inlineStr">
        <is>
          <t>Clarify escalation criteria and communicate proactively.</t>
        </is>
      </c>
      <c r="K442" t="n">
        <v>0</v>
      </c>
    </row>
    <row r="443">
      <c r="A443" t="inlineStr">
        <is>
          <t>L018</t>
        </is>
      </c>
      <c r="B443" s="6" t="n">
        <v>45997</v>
      </c>
      <c r="C443" t="inlineStr">
        <is>
          <t>EPA03</t>
        </is>
      </c>
      <c r="D443" t="n">
        <v>3</v>
      </c>
      <c r="E443" t="inlineStr">
        <is>
          <t>A006</t>
        </is>
      </c>
      <c r="F443" t="inlineStr">
        <is>
          <t>Faculty</t>
        </is>
      </c>
      <c r="G443" t="inlineStr">
        <is>
          <t>ICU</t>
        </is>
      </c>
      <c r="H443" t="inlineStr">
        <is>
          <t>CaseE</t>
        </is>
      </c>
      <c r="I443" s="3" t="n"/>
      <c r="J443" s="3" t="n"/>
      <c r="K443" t="n">
        <v>0</v>
      </c>
    </row>
    <row r="444">
      <c r="A444" t="inlineStr">
        <is>
          <t>L008</t>
        </is>
      </c>
      <c r="B444" s="6" t="n">
        <v>46013</v>
      </c>
      <c r="C444" t="inlineStr">
        <is>
          <t>EPA04</t>
        </is>
      </c>
      <c r="D444" t="n">
        <v>5</v>
      </c>
      <c r="E444" t="inlineStr">
        <is>
          <t>A008</t>
        </is>
      </c>
      <c r="F444" t="inlineStr">
        <is>
          <t>AlliedHealth</t>
        </is>
      </c>
      <c r="G444" t="inlineStr">
        <is>
          <t>Sim</t>
        </is>
      </c>
      <c r="H444" t="inlineStr">
        <is>
          <t>CaseG</t>
        </is>
      </c>
      <c r="I444" s="3" t="n"/>
      <c r="J444" s="3" t="n"/>
      <c r="K444" t="n">
        <v>0</v>
      </c>
    </row>
    <row r="445">
      <c r="A445" t="inlineStr">
        <is>
          <t>L024</t>
        </is>
      </c>
      <c r="B445" s="6" t="n">
        <v>46004</v>
      </c>
      <c r="C445" t="inlineStr">
        <is>
          <t>EPA07</t>
        </is>
      </c>
      <c r="D445" t="n">
        <v>4</v>
      </c>
      <c r="E445" t="inlineStr">
        <is>
          <t>A013</t>
        </is>
      </c>
      <c r="F445" t="inlineStr">
        <is>
          <t>Nurse</t>
        </is>
      </c>
      <c r="G445" t="inlineStr">
        <is>
          <t>OR</t>
        </is>
      </c>
      <c r="H445" t="inlineStr">
        <is>
          <t>CaseB</t>
        </is>
      </c>
      <c r="I445" s="3" t="n"/>
      <c r="J445" s="3" t="n"/>
      <c r="K445" t="n">
        <v>0</v>
      </c>
    </row>
    <row r="446">
      <c r="A446" t="inlineStr">
        <is>
          <t>L024</t>
        </is>
      </c>
      <c r="B446" s="6" t="n">
        <v>45993</v>
      </c>
      <c r="C446" t="inlineStr">
        <is>
          <t>EPA02</t>
        </is>
      </c>
      <c r="D446" t="n">
        <v>5</v>
      </c>
      <c r="E446" t="inlineStr">
        <is>
          <t>A012</t>
        </is>
      </c>
      <c r="F446" t="inlineStr">
        <is>
          <t>Faculty</t>
        </is>
      </c>
      <c r="G446" t="inlineStr">
        <is>
          <t>OR</t>
        </is>
      </c>
      <c r="H446" t="inlineStr">
        <is>
          <t>CaseD</t>
        </is>
      </c>
      <c r="I446" s="3" t="n"/>
      <c r="J446" s="3" t="n"/>
      <c r="K446" t="n">
        <v>0</v>
      </c>
    </row>
    <row r="447">
      <c r="A447" t="inlineStr">
        <is>
          <t>L008</t>
        </is>
      </c>
      <c r="B447" s="6" t="n">
        <v>45938</v>
      </c>
      <c r="C447" t="inlineStr">
        <is>
          <t>EPA02</t>
        </is>
      </c>
      <c r="D447" t="n">
        <v>4</v>
      </c>
      <c r="E447" t="inlineStr">
        <is>
          <t>A001</t>
        </is>
      </c>
      <c r="F447" t="inlineStr">
        <is>
          <t>Faculty</t>
        </is>
      </c>
      <c r="G447" t="inlineStr">
        <is>
          <t>Ward</t>
        </is>
      </c>
      <c r="H447" t="inlineStr">
        <is>
          <t>CaseC</t>
        </is>
      </c>
      <c r="I447" s="3" t="inlineStr">
        <is>
          <t>Appropriate prioritization and plan articulation.</t>
        </is>
      </c>
      <c r="J447" s="3" t="inlineStr">
        <is>
          <t>Document key times and decisions more clearly.</t>
        </is>
      </c>
      <c r="K447" t="n">
        <v>0</v>
      </c>
    </row>
    <row r="448">
      <c r="A448" t="inlineStr">
        <is>
          <t>L015</t>
        </is>
      </c>
      <c r="B448" s="6" t="n">
        <v>45920</v>
      </c>
      <c r="C448" t="inlineStr">
        <is>
          <t>EPA08</t>
        </is>
      </c>
      <c r="D448" t="n">
        <v>3</v>
      </c>
      <c r="E448" t="inlineStr">
        <is>
          <t>A006</t>
        </is>
      </c>
      <c r="F448" t="inlineStr">
        <is>
          <t>Faculty</t>
        </is>
      </c>
      <c r="G448" t="inlineStr">
        <is>
          <t>ICU</t>
        </is>
      </c>
      <c r="H448" t="inlineStr">
        <is>
          <t>CaseA</t>
        </is>
      </c>
      <c r="I448" s="3" t="inlineStr">
        <is>
          <t>Effective teamwork and closed-loop communication.</t>
        </is>
      </c>
      <c r="J448" s="3" t="n"/>
      <c r="K448" t="n">
        <v>0</v>
      </c>
    </row>
    <row r="449">
      <c r="A449" t="inlineStr">
        <is>
          <t>L011</t>
        </is>
      </c>
      <c r="B449" s="6" t="n">
        <v>46001</v>
      </c>
      <c r="C449" t="inlineStr">
        <is>
          <t>EPA08</t>
        </is>
      </c>
      <c r="D449" t="n">
        <v>3</v>
      </c>
      <c r="E449" t="inlineStr">
        <is>
          <t>A015</t>
        </is>
      </c>
      <c r="F449" t="inlineStr">
        <is>
          <t>Faculty</t>
        </is>
      </c>
      <c r="G449" t="inlineStr">
        <is>
          <t>Sim</t>
        </is>
      </c>
      <c r="H449" t="inlineStr">
        <is>
          <t>CaseB</t>
        </is>
      </c>
      <c r="I449" s="3" t="inlineStr">
        <is>
          <t>Appropriate prioritization and plan articulation.</t>
        </is>
      </c>
      <c r="J449" s="3" t="inlineStr">
        <is>
          <t>Broaden the differential diagnosis and justify choices.</t>
        </is>
      </c>
      <c r="K449" t="n">
        <v>0</v>
      </c>
    </row>
    <row r="450">
      <c r="A450" t="inlineStr">
        <is>
          <t>L007</t>
        </is>
      </c>
      <c r="B450" s="6" t="n">
        <v>45914</v>
      </c>
      <c r="C450" t="inlineStr">
        <is>
          <t>EPA06</t>
        </is>
      </c>
      <c r="D450" t="n">
        <v>2</v>
      </c>
      <c r="E450" t="inlineStr">
        <is>
          <t>A015</t>
        </is>
      </c>
      <c r="F450" t="inlineStr">
        <is>
          <t>Faculty</t>
        </is>
      </c>
      <c r="G450" t="inlineStr">
        <is>
          <t>ICU</t>
        </is>
      </c>
      <c r="H450" t="inlineStr">
        <is>
          <t>CaseA</t>
        </is>
      </c>
      <c r="I450" s="3" t="inlineStr">
        <is>
          <t>Good clinical reasoning with key findings identified.</t>
        </is>
      </c>
      <c r="J450" s="3" t="inlineStr">
        <is>
          <t>Clarify escalation criteria and communicate proactively.</t>
        </is>
      </c>
      <c r="K450" t="n">
        <v>0</v>
      </c>
    </row>
    <row r="451">
      <c r="A451" t="inlineStr">
        <is>
          <t>L005</t>
        </is>
      </c>
      <c r="B451" s="6" t="n">
        <v>46045</v>
      </c>
      <c r="C451" t="inlineStr">
        <is>
          <t>EPA10</t>
        </is>
      </c>
      <c r="D451" t="n">
        <v>3</v>
      </c>
      <c r="E451" t="inlineStr">
        <is>
          <t>A004</t>
        </is>
      </c>
      <c r="F451" t="inlineStr">
        <is>
          <t>Faculty</t>
        </is>
      </c>
      <c r="G451" t="inlineStr">
        <is>
          <t>ICU</t>
        </is>
      </c>
      <c r="H451" t="inlineStr">
        <is>
          <t>CaseD</t>
        </is>
      </c>
      <c r="I451" s="3" t="n"/>
      <c r="J451" s="3" t="n"/>
      <c r="K451" t="n">
        <v>0</v>
      </c>
    </row>
    <row r="452">
      <c r="A452" t="inlineStr">
        <is>
          <t>L024</t>
        </is>
      </c>
      <c r="B452" s="6" t="n">
        <v>45958</v>
      </c>
      <c r="C452" t="inlineStr">
        <is>
          <t>EPA12</t>
        </is>
      </c>
      <c r="D452" t="n">
        <v>4</v>
      </c>
      <c r="E452" t="inlineStr">
        <is>
          <t>A007</t>
        </is>
      </c>
      <c r="F452" t="inlineStr">
        <is>
          <t>Faculty</t>
        </is>
      </c>
      <c r="G452" t="inlineStr">
        <is>
          <t>Ward</t>
        </is>
      </c>
      <c r="H452" t="inlineStr">
        <is>
          <t>CaseD</t>
        </is>
      </c>
      <c r="I452" s="3" t="inlineStr">
        <is>
          <t>Good clinical reasoning with key findings identified.</t>
        </is>
      </c>
      <c r="J452" s="3" t="inlineStr">
        <is>
          <t>Broaden the differential diagnosis and justify choices.</t>
        </is>
      </c>
      <c r="K452" t="n">
        <v>0</v>
      </c>
    </row>
    <row r="453">
      <c r="A453" t="inlineStr">
        <is>
          <t>L009</t>
        </is>
      </c>
      <c r="B453" s="6" t="n">
        <v>45944</v>
      </c>
      <c r="C453" t="inlineStr">
        <is>
          <t>EPA08</t>
        </is>
      </c>
      <c r="D453" t="n">
        <v>4</v>
      </c>
      <c r="E453" t="inlineStr">
        <is>
          <t>A008</t>
        </is>
      </c>
      <c r="F453" t="inlineStr">
        <is>
          <t>AlliedHealth</t>
        </is>
      </c>
      <c r="G453" t="inlineStr">
        <is>
          <t>OPD</t>
        </is>
      </c>
      <c r="H453" t="inlineStr">
        <is>
          <t>CaseF</t>
        </is>
      </c>
      <c r="I453" s="3" t="inlineStr">
        <is>
          <t>Effective teamwork and closed-loop communication.</t>
        </is>
      </c>
      <c r="J453" s="3" t="inlineStr">
        <is>
          <t>Be more concise and state the plan earlier.</t>
        </is>
      </c>
      <c r="K453" t="n">
        <v>0</v>
      </c>
    </row>
    <row r="454">
      <c r="A454" t="inlineStr">
        <is>
          <t>L020</t>
        </is>
      </c>
      <c r="B454" s="6" t="n">
        <v>45954</v>
      </c>
      <c r="C454" t="inlineStr">
        <is>
          <t>EPA10</t>
        </is>
      </c>
      <c r="D454" t="n">
        <v>3</v>
      </c>
      <c r="E454" t="inlineStr">
        <is>
          <t>A002</t>
        </is>
      </c>
      <c r="F454" t="inlineStr">
        <is>
          <t>Faculty</t>
        </is>
      </c>
      <c r="G454" t="inlineStr">
        <is>
          <t>ICU</t>
        </is>
      </c>
      <c r="H454" t="inlineStr">
        <is>
          <t>CaseE</t>
        </is>
      </c>
      <c r="I454" s="3" t="inlineStr">
        <is>
          <t>Good clinical reasoning with key findings identified.</t>
        </is>
      </c>
      <c r="J454" s="3" t="inlineStr">
        <is>
          <t>Increase efficiency while maintaining safety checks.</t>
        </is>
      </c>
      <c r="K454" t="n">
        <v>0</v>
      </c>
    </row>
    <row r="455">
      <c r="A455" t="inlineStr">
        <is>
          <t>L005</t>
        </is>
      </c>
      <c r="B455" s="6" t="n">
        <v>45991</v>
      </c>
      <c r="C455" t="inlineStr">
        <is>
          <t>EPA04</t>
        </is>
      </c>
      <c r="D455" t="n">
        <v>3</v>
      </c>
      <c r="E455" t="inlineStr">
        <is>
          <t>A013</t>
        </is>
      </c>
      <c r="F455" t="inlineStr">
        <is>
          <t>Nurse</t>
        </is>
      </c>
      <c r="G455" t="inlineStr">
        <is>
          <t>Ward</t>
        </is>
      </c>
      <c r="H455" t="inlineStr">
        <is>
          <t>CaseD</t>
        </is>
      </c>
      <c r="I455" s="3" t="inlineStr">
        <is>
          <t>Good clinical reasoning with key findings identified.</t>
        </is>
      </c>
      <c r="J455" s="3" t="inlineStr">
        <is>
          <t>Document key times and decisions more clearly.</t>
        </is>
      </c>
      <c r="K455" t="n">
        <v>0</v>
      </c>
    </row>
    <row r="456">
      <c r="A456" t="inlineStr">
        <is>
          <t>L010</t>
        </is>
      </c>
      <c r="B456" s="6" t="n">
        <v>45981</v>
      </c>
      <c r="C456" t="inlineStr">
        <is>
          <t>EPA10</t>
        </is>
      </c>
      <c r="D456" t="n">
        <v>5</v>
      </c>
      <c r="E456" t="inlineStr">
        <is>
          <t>A013</t>
        </is>
      </c>
      <c r="F456" t="inlineStr">
        <is>
          <t>Nurse</t>
        </is>
      </c>
      <c r="G456" t="inlineStr">
        <is>
          <t>ED</t>
        </is>
      </c>
      <c r="H456" t="inlineStr">
        <is>
          <t>CaseC</t>
        </is>
      </c>
      <c r="I456" s="3" t="inlineStr">
        <is>
          <t>Good clinical reasoning with key findings identified.</t>
        </is>
      </c>
      <c r="J456" s="3" t="inlineStr">
        <is>
          <t>Document key times and decisions more clearly.</t>
        </is>
      </c>
      <c r="K456" t="n">
        <v>0</v>
      </c>
    </row>
    <row r="457">
      <c r="A457" t="inlineStr">
        <is>
          <t>L001</t>
        </is>
      </c>
      <c r="B457" s="6" t="n">
        <v>46030</v>
      </c>
      <c r="C457" t="inlineStr">
        <is>
          <t>EPA08</t>
        </is>
      </c>
      <c r="D457" t="n">
        <v>4</v>
      </c>
      <c r="E457" t="inlineStr">
        <is>
          <t>A015</t>
        </is>
      </c>
      <c r="F457" t="inlineStr">
        <is>
          <t>Faculty</t>
        </is>
      </c>
      <c r="G457" t="inlineStr">
        <is>
          <t>OR</t>
        </is>
      </c>
      <c r="H457" t="inlineStr">
        <is>
          <t>CaseG</t>
        </is>
      </c>
      <c r="I457" s="3" t="inlineStr">
        <is>
          <t>Clear structure and communication.</t>
        </is>
      </c>
      <c r="J457" s="3" t="inlineStr">
        <is>
          <t>Be more concise and state the plan earlier.</t>
        </is>
      </c>
      <c r="K457" t="n">
        <v>0</v>
      </c>
    </row>
    <row r="458">
      <c r="A458" t="inlineStr">
        <is>
          <t>L010</t>
        </is>
      </c>
      <c r="B458" s="6" t="n">
        <v>46043</v>
      </c>
      <c r="C458" t="inlineStr">
        <is>
          <t>EPA12</t>
        </is>
      </c>
      <c r="D458" t="n">
        <v>4</v>
      </c>
      <c r="E458" t="inlineStr">
        <is>
          <t>A002</t>
        </is>
      </c>
      <c r="F458" t="inlineStr">
        <is>
          <t>Faculty</t>
        </is>
      </c>
      <c r="G458" t="inlineStr">
        <is>
          <t>ICU</t>
        </is>
      </c>
      <c r="H458" t="inlineStr">
        <is>
          <t>CaseA</t>
        </is>
      </c>
      <c r="I458" s="3" t="inlineStr">
        <is>
          <t>Good clinical reasoning with key findings identified.</t>
        </is>
      </c>
      <c r="J458" s="3" t="inlineStr">
        <is>
          <t>Clarify escalation criteria and communicate proactively.</t>
        </is>
      </c>
      <c r="K458" t="n">
        <v>0</v>
      </c>
    </row>
    <row r="459">
      <c r="A459" t="inlineStr">
        <is>
          <t>L015</t>
        </is>
      </c>
      <c r="B459" s="6" t="n">
        <v>46026</v>
      </c>
      <c r="C459" t="inlineStr">
        <is>
          <t>EPA02</t>
        </is>
      </c>
      <c r="D459" t="n">
        <v>4</v>
      </c>
      <c r="E459" t="inlineStr">
        <is>
          <t>A004</t>
        </is>
      </c>
      <c r="F459" t="inlineStr">
        <is>
          <t>Faculty</t>
        </is>
      </c>
      <c r="G459" t="inlineStr">
        <is>
          <t>ED</t>
        </is>
      </c>
      <c r="H459" t="inlineStr">
        <is>
          <t>CaseE</t>
        </is>
      </c>
      <c r="I459" s="3" t="inlineStr">
        <is>
          <t>Professional and patient-centered approach.</t>
        </is>
      </c>
      <c r="J459" s="3" t="inlineStr">
        <is>
          <t>Be more concise and state the plan earlier.</t>
        </is>
      </c>
      <c r="K459" t="n">
        <v>0</v>
      </c>
    </row>
    <row r="460">
      <c r="A460" t="inlineStr">
        <is>
          <t>L009</t>
        </is>
      </c>
      <c r="B460" s="6" t="n">
        <v>46014</v>
      </c>
      <c r="C460" t="inlineStr">
        <is>
          <t>EPA06</t>
        </is>
      </c>
      <c r="D460" t="n">
        <v>3</v>
      </c>
      <c r="E460" t="inlineStr">
        <is>
          <t>A007</t>
        </is>
      </c>
      <c r="F460" t="inlineStr">
        <is>
          <t>Faculty</t>
        </is>
      </c>
      <c r="G460" t="inlineStr">
        <is>
          <t>Sim</t>
        </is>
      </c>
      <c r="H460" t="inlineStr">
        <is>
          <t>CaseA</t>
        </is>
      </c>
      <c r="I460" s="3" t="inlineStr">
        <is>
          <t>Clear structure and communication.</t>
        </is>
      </c>
      <c r="J460" s="3" t="inlineStr">
        <is>
          <t>Be more concise and state the plan earlier.</t>
        </is>
      </c>
      <c r="K460" t="n">
        <v>0</v>
      </c>
    </row>
    <row r="461">
      <c r="A461" t="inlineStr">
        <is>
          <t>L007</t>
        </is>
      </c>
      <c r="B461" s="6" t="n">
        <v>46003</v>
      </c>
      <c r="C461" t="inlineStr">
        <is>
          <t>EPA06</t>
        </is>
      </c>
      <c r="D461" t="n">
        <v>3</v>
      </c>
      <c r="E461" t="inlineStr">
        <is>
          <t>A008</t>
        </is>
      </c>
      <c r="F461" t="inlineStr">
        <is>
          <t>AlliedHealth</t>
        </is>
      </c>
      <c r="G461" t="inlineStr">
        <is>
          <t>OR</t>
        </is>
      </c>
      <c r="H461" t="inlineStr">
        <is>
          <t>CaseF</t>
        </is>
      </c>
      <c r="I461" s="3" t="inlineStr">
        <is>
          <t>Professional and patient-centered approach.</t>
        </is>
      </c>
      <c r="J461" s="3" t="inlineStr">
        <is>
          <t>Document key times and decisions more clearly.</t>
        </is>
      </c>
      <c r="K461" t="n">
        <v>0</v>
      </c>
    </row>
    <row r="462">
      <c r="A462" t="inlineStr">
        <is>
          <t>L011</t>
        </is>
      </c>
      <c r="B462" s="6" t="n">
        <v>46013</v>
      </c>
      <c r="C462" t="inlineStr">
        <is>
          <t>EPA04</t>
        </is>
      </c>
      <c r="D462" t="n">
        <v>3</v>
      </c>
      <c r="E462" t="inlineStr">
        <is>
          <t>A007</t>
        </is>
      </c>
      <c r="F462" t="inlineStr">
        <is>
          <t>Faculty</t>
        </is>
      </c>
      <c r="G462" t="inlineStr">
        <is>
          <t>ICU</t>
        </is>
      </c>
      <c r="H462" t="inlineStr">
        <is>
          <t>CaseA</t>
        </is>
      </c>
      <c r="I462" s="3" t="inlineStr">
        <is>
          <t>Effective teamwork and closed-loop communication.</t>
        </is>
      </c>
      <c r="J462" s="3" t="n"/>
      <c r="K462" t="n">
        <v>0</v>
      </c>
    </row>
    <row r="463">
      <c r="A463" t="inlineStr">
        <is>
          <t>L011</t>
        </is>
      </c>
      <c r="B463" s="6" t="n">
        <v>46033</v>
      </c>
      <c r="C463" t="inlineStr">
        <is>
          <t>EPA07</t>
        </is>
      </c>
      <c r="D463" t="n">
        <v>3</v>
      </c>
      <c r="E463" t="inlineStr">
        <is>
          <t>A001</t>
        </is>
      </c>
      <c r="F463" t="inlineStr">
        <is>
          <t>Faculty</t>
        </is>
      </c>
      <c r="G463" t="inlineStr">
        <is>
          <t>OR</t>
        </is>
      </c>
      <c r="H463" t="inlineStr">
        <is>
          <t>CaseD</t>
        </is>
      </c>
      <c r="I463" s="3" t="inlineStr">
        <is>
          <t>Professional and patient-centered approach.</t>
        </is>
      </c>
      <c r="J463" s="3" t="inlineStr">
        <is>
          <t>Increase efficiency while maintaining safety checks.</t>
        </is>
      </c>
      <c r="K463" t="n">
        <v>0</v>
      </c>
    </row>
    <row r="464">
      <c r="A464" t="inlineStr">
        <is>
          <t>L010</t>
        </is>
      </c>
      <c r="B464" s="6" t="n">
        <v>45998</v>
      </c>
      <c r="C464" t="inlineStr">
        <is>
          <t>EPA04</t>
        </is>
      </c>
      <c r="D464" t="n">
        <v>3</v>
      </c>
      <c r="E464" t="inlineStr">
        <is>
          <t>A003</t>
        </is>
      </c>
      <c r="F464" t="inlineStr">
        <is>
          <t>Faculty</t>
        </is>
      </c>
      <c r="G464" t="inlineStr">
        <is>
          <t>Sim</t>
        </is>
      </c>
      <c r="H464" t="inlineStr">
        <is>
          <t>CaseD</t>
        </is>
      </c>
      <c r="I464" s="3" t="n"/>
      <c r="J464" s="3" t="n"/>
      <c r="K464" t="n">
        <v>0</v>
      </c>
    </row>
    <row r="465">
      <c r="A465" t="inlineStr">
        <is>
          <t>L007</t>
        </is>
      </c>
      <c r="B465" s="6" t="n">
        <v>46023</v>
      </c>
      <c r="C465" t="inlineStr">
        <is>
          <t>EPA05</t>
        </is>
      </c>
      <c r="D465" t="n">
        <v>4</v>
      </c>
      <c r="E465" t="inlineStr">
        <is>
          <t>A011</t>
        </is>
      </c>
      <c r="F465" t="inlineStr">
        <is>
          <t>Nurse</t>
        </is>
      </c>
      <c r="G465" t="inlineStr">
        <is>
          <t>OPD</t>
        </is>
      </c>
      <c r="H465" t="inlineStr">
        <is>
          <t>CaseG</t>
        </is>
      </c>
      <c r="I465" s="3" t="inlineStr">
        <is>
          <t>Effective teamwork and closed-loop communication.</t>
        </is>
      </c>
      <c r="J465" s="3" t="inlineStr">
        <is>
          <t>Increase efficiency while maintaining safety checks.</t>
        </is>
      </c>
      <c r="K465" t="n">
        <v>0</v>
      </c>
    </row>
    <row r="466">
      <c r="A466" t="inlineStr">
        <is>
          <t>L017</t>
        </is>
      </c>
      <c r="B466" s="6" t="n">
        <v>45943</v>
      </c>
      <c r="C466" t="inlineStr">
        <is>
          <t>EPA12</t>
        </is>
      </c>
      <c r="D466" t="n">
        <v>3</v>
      </c>
      <c r="E466" t="inlineStr">
        <is>
          <t>A009</t>
        </is>
      </c>
      <c r="F466" t="inlineStr">
        <is>
          <t>AlliedHealth</t>
        </is>
      </c>
      <c r="G466" t="inlineStr">
        <is>
          <t>Ward</t>
        </is>
      </c>
      <c r="H466" t="inlineStr">
        <is>
          <t>CaseE</t>
        </is>
      </c>
      <c r="I466" s="3" t="inlineStr">
        <is>
          <t>Effective teamwork and closed-loop communication.</t>
        </is>
      </c>
      <c r="J466" s="3" t="inlineStr">
        <is>
          <t>Clarify escalation criteria and communicate proactively.</t>
        </is>
      </c>
      <c r="K466" t="n">
        <v>0</v>
      </c>
    </row>
    <row r="467">
      <c r="A467" t="inlineStr">
        <is>
          <t>L006</t>
        </is>
      </c>
      <c r="B467" s="6" t="n">
        <v>46026</v>
      </c>
      <c r="C467" t="inlineStr">
        <is>
          <t>EPA07</t>
        </is>
      </c>
      <c r="D467" t="n">
        <v>1</v>
      </c>
      <c r="E467" t="inlineStr">
        <is>
          <t>A004</t>
        </is>
      </c>
      <c r="F467" t="inlineStr">
        <is>
          <t>Faculty</t>
        </is>
      </c>
      <c r="G467" t="inlineStr">
        <is>
          <t>Sim</t>
        </is>
      </c>
      <c r="H467" t="inlineStr">
        <is>
          <t>CaseD</t>
        </is>
      </c>
      <c r="I467" s="3" t="inlineStr">
        <is>
          <t>Clear structure and communication.</t>
        </is>
      </c>
      <c r="J467" s="3" t="inlineStr">
        <is>
          <t>Clarify escalation criteria and communicate proactively.</t>
        </is>
      </c>
      <c r="K467" t="n">
        <v>0</v>
      </c>
    </row>
    <row r="468">
      <c r="A468" t="inlineStr">
        <is>
          <t>L009</t>
        </is>
      </c>
      <c r="B468" s="6" t="n">
        <v>45896</v>
      </c>
      <c r="C468" t="inlineStr">
        <is>
          <t>EPA10</t>
        </is>
      </c>
      <c r="D468" t="n">
        <v>4</v>
      </c>
      <c r="E468" t="inlineStr">
        <is>
          <t>A010</t>
        </is>
      </c>
      <c r="F468" t="inlineStr">
        <is>
          <t>Faculty</t>
        </is>
      </c>
      <c r="G468" t="inlineStr">
        <is>
          <t>Ward</t>
        </is>
      </c>
      <c r="H468" t="inlineStr">
        <is>
          <t>CaseD</t>
        </is>
      </c>
      <c r="I468" s="3" t="inlineStr">
        <is>
          <t>Professional and patient-centered approach.</t>
        </is>
      </c>
      <c r="J468" s="3" t="inlineStr">
        <is>
          <t>Broaden the differential diagnosis and justify choices.</t>
        </is>
      </c>
      <c r="K468" t="n">
        <v>0</v>
      </c>
    </row>
    <row r="469">
      <c r="A469" t="inlineStr">
        <is>
          <t>L023</t>
        </is>
      </c>
      <c r="B469" s="6" t="n">
        <v>45976</v>
      </c>
      <c r="C469" t="inlineStr">
        <is>
          <t>EPA08</t>
        </is>
      </c>
      <c r="D469" t="n">
        <v>4</v>
      </c>
      <c r="E469" t="inlineStr">
        <is>
          <t>A013</t>
        </is>
      </c>
      <c r="F469" t="inlineStr">
        <is>
          <t>Nurse</t>
        </is>
      </c>
      <c r="G469" t="inlineStr">
        <is>
          <t>ICU</t>
        </is>
      </c>
      <c r="H469" t="inlineStr">
        <is>
          <t>CaseF</t>
        </is>
      </c>
      <c r="I469" s="3" t="inlineStr">
        <is>
          <t>Good clinical reasoning with key findings identified.</t>
        </is>
      </c>
      <c r="J469" s="3" t="inlineStr">
        <is>
          <t>Document key times and decisions more clearly.</t>
        </is>
      </c>
      <c r="K469" t="n">
        <v>0</v>
      </c>
    </row>
    <row r="470">
      <c r="A470" t="inlineStr">
        <is>
          <t>L022</t>
        </is>
      </c>
      <c r="B470" s="6" t="n">
        <v>45928</v>
      </c>
      <c r="C470" t="inlineStr">
        <is>
          <t>EPA09</t>
        </is>
      </c>
      <c r="D470" t="n">
        <v>2</v>
      </c>
      <c r="E470" t="inlineStr">
        <is>
          <t>A007</t>
        </is>
      </c>
      <c r="F470" t="inlineStr">
        <is>
          <t>Faculty</t>
        </is>
      </c>
      <c r="G470" t="inlineStr">
        <is>
          <t>Sim</t>
        </is>
      </c>
      <c r="H470" t="inlineStr">
        <is>
          <t>CaseG</t>
        </is>
      </c>
      <c r="I470" s="3" t="n"/>
      <c r="J470" s="3" t="n"/>
      <c r="K470" t="n">
        <v>0</v>
      </c>
    </row>
    <row r="471">
      <c r="A471" t="inlineStr">
        <is>
          <t>L017</t>
        </is>
      </c>
      <c r="B471" s="6" t="n">
        <v>46007</v>
      </c>
      <c r="C471" t="inlineStr">
        <is>
          <t>EPA07</t>
        </is>
      </c>
      <c r="D471" t="n">
        <v>2</v>
      </c>
      <c r="E471" t="inlineStr">
        <is>
          <t>A001</t>
        </is>
      </c>
      <c r="F471" t="inlineStr">
        <is>
          <t>Faculty</t>
        </is>
      </c>
      <c r="G471" t="inlineStr">
        <is>
          <t>OPD</t>
        </is>
      </c>
      <c r="H471" t="inlineStr">
        <is>
          <t>CaseE</t>
        </is>
      </c>
      <c r="I471" s="3" t="inlineStr">
        <is>
          <t>Clear structure and communication.</t>
        </is>
      </c>
      <c r="J471" s="3" t="inlineStr">
        <is>
          <t>Broaden the differential diagnosis and justify choices.</t>
        </is>
      </c>
      <c r="K471" t="n">
        <v>0</v>
      </c>
    </row>
    <row r="472">
      <c r="A472" t="inlineStr">
        <is>
          <t>L020</t>
        </is>
      </c>
      <c r="B472" s="6" t="n">
        <v>45972</v>
      </c>
      <c r="C472" t="inlineStr">
        <is>
          <t>EPA04</t>
        </is>
      </c>
      <c r="D472" t="n">
        <v>3</v>
      </c>
      <c r="E472" t="inlineStr">
        <is>
          <t>A012</t>
        </is>
      </c>
      <c r="F472" t="inlineStr">
        <is>
          <t>Faculty</t>
        </is>
      </c>
      <c r="G472" t="inlineStr">
        <is>
          <t>Sim</t>
        </is>
      </c>
      <c r="H472" t="inlineStr">
        <is>
          <t>CaseG</t>
        </is>
      </c>
      <c r="I472" s="3" t="inlineStr">
        <is>
          <t>Professional and patient-centered approach.</t>
        </is>
      </c>
      <c r="J472" s="3" t="n"/>
      <c r="K472" t="n">
        <v>0</v>
      </c>
    </row>
    <row r="473">
      <c r="A473" t="inlineStr">
        <is>
          <t>L008</t>
        </is>
      </c>
      <c r="B473" s="6" t="n">
        <v>46018</v>
      </c>
      <c r="C473" t="inlineStr">
        <is>
          <t>EPA08</t>
        </is>
      </c>
      <c r="D473" t="n">
        <v>2</v>
      </c>
      <c r="E473" t="inlineStr">
        <is>
          <t>A007</t>
        </is>
      </c>
      <c r="F473" t="inlineStr">
        <is>
          <t>Faculty</t>
        </is>
      </c>
      <c r="G473" t="inlineStr">
        <is>
          <t>OR</t>
        </is>
      </c>
      <c r="H473" t="inlineStr">
        <is>
          <t>CaseG</t>
        </is>
      </c>
      <c r="I473" s="3" t="inlineStr">
        <is>
          <t>Appropriate prioritization and plan articulation.</t>
        </is>
      </c>
      <c r="J473" s="3" t="inlineStr">
        <is>
          <t>Document key times and decisions more clearly.</t>
        </is>
      </c>
      <c r="K473" t="n">
        <v>0</v>
      </c>
    </row>
    <row r="474">
      <c r="A474" t="inlineStr">
        <is>
          <t>L004</t>
        </is>
      </c>
      <c r="B474" s="6" t="n">
        <v>45981</v>
      </c>
      <c r="C474" t="inlineStr">
        <is>
          <t>EPA10</t>
        </is>
      </c>
      <c r="D474" t="n">
        <v>4</v>
      </c>
      <c r="E474" t="inlineStr">
        <is>
          <t>A013</t>
        </is>
      </c>
      <c r="F474" t="inlineStr">
        <is>
          <t>Nurse</t>
        </is>
      </c>
      <c r="G474" t="inlineStr">
        <is>
          <t>Sim</t>
        </is>
      </c>
      <c r="H474" t="inlineStr">
        <is>
          <t>CaseD</t>
        </is>
      </c>
      <c r="I474" s="3" t="inlineStr">
        <is>
          <t>Appropriate prioritization and plan articulation.</t>
        </is>
      </c>
      <c r="J474" s="3" t="inlineStr">
        <is>
          <t>Be more concise and state the plan earlier.</t>
        </is>
      </c>
      <c r="K474" t="n">
        <v>0</v>
      </c>
    </row>
    <row r="475">
      <c r="A475" t="inlineStr">
        <is>
          <t>L004</t>
        </is>
      </c>
      <c r="B475" s="6" t="n">
        <v>45966</v>
      </c>
      <c r="C475" t="inlineStr">
        <is>
          <t>EPA08</t>
        </is>
      </c>
      <c r="D475" t="n">
        <v>5</v>
      </c>
      <c r="E475" t="inlineStr">
        <is>
          <t>A005</t>
        </is>
      </c>
      <c r="F475" t="inlineStr">
        <is>
          <t>Faculty</t>
        </is>
      </c>
      <c r="G475" t="inlineStr">
        <is>
          <t>OR</t>
        </is>
      </c>
      <c r="H475" t="inlineStr">
        <is>
          <t>CaseA</t>
        </is>
      </c>
      <c r="I475" s="3" t="inlineStr">
        <is>
          <t>Appropriate prioritization and plan articulation.</t>
        </is>
      </c>
      <c r="J475" s="3" t="inlineStr">
        <is>
          <t>Increase efficiency while maintaining safety checks.</t>
        </is>
      </c>
      <c r="K475" t="n">
        <v>0</v>
      </c>
    </row>
    <row r="476">
      <c r="A476" t="inlineStr">
        <is>
          <t>L012</t>
        </is>
      </c>
      <c r="B476" s="6" t="n">
        <v>46009</v>
      </c>
      <c r="C476" t="inlineStr">
        <is>
          <t>EPA09</t>
        </is>
      </c>
      <c r="D476" t="n">
        <v>4</v>
      </c>
      <c r="E476" t="inlineStr">
        <is>
          <t>A006</t>
        </is>
      </c>
      <c r="F476" t="inlineStr">
        <is>
          <t>Faculty</t>
        </is>
      </c>
      <c r="G476" t="inlineStr">
        <is>
          <t>Sim</t>
        </is>
      </c>
      <c r="H476" t="inlineStr">
        <is>
          <t>CaseD</t>
        </is>
      </c>
      <c r="I476" s="3" t="n"/>
      <c r="J476" s="3" t="n"/>
      <c r="K476" t="n">
        <v>0</v>
      </c>
    </row>
    <row r="477">
      <c r="A477" t="inlineStr">
        <is>
          <t>L016</t>
        </is>
      </c>
      <c r="B477" s="6" t="n">
        <v>46073</v>
      </c>
      <c r="C477" t="inlineStr">
        <is>
          <t>EPA01</t>
        </is>
      </c>
      <c r="D477" t="n">
        <v>4</v>
      </c>
      <c r="E477" t="inlineStr">
        <is>
          <t>A014</t>
        </is>
      </c>
      <c r="F477" t="inlineStr">
        <is>
          <t>Faculty</t>
        </is>
      </c>
      <c r="G477" t="inlineStr">
        <is>
          <t>OR</t>
        </is>
      </c>
      <c r="H477" t="inlineStr">
        <is>
          <t>CaseE</t>
        </is>
      </c>
      <c r="I477" s="3" t="n"/>
      <c r="J477" s="3" t="n"/>
      <c r="K477" t="n">
        <v>0</v>
      </c>
    </row>
    <row r="478">
      <c r="A478" t="inlineStr">
        <is>
          <t>L023</t>
        </is>
      </c>
      <c r="B478" s="6" t="n">
        <v>46010</v>
      </c>
      <c r="C478" t="inlineStr">
        <is>
          <t>EPA06</t>
        </is>
      </c>
      <c r="D478" t="n">
        <v>3</v>
      </c>
      <c r="E478" t="inlineStr">
        <is>
          <t>A009</t>
        </is>
      </c>
      <c r="F478" t="inlineStr">
        <is>
          <t>AlliedHealth</t>
        </is>
      </c>
      <c r="G478" t="inlineStr">
        <is>
          <t>Ward</t>
        </is>
      </c>
      <c r="H478" t="inlineStr">
        <is>
          <t>CaseB</t>
        </is>
      </c>
      <c r="I478" s="3" t="inlineStr">
        <is>
          <t>Effective teamwork and closed-loop communication.</t>
        </is>
      </c>
      <c r="J478" s="3" t="inlineStr">
        <is>
          <t>Broaden the differential diagnosis and justify choices.</t>
        </is>
      </c>
      <c r="K478" t="n">
        <v>0</v>
      </c>
    </row>
    <row r="479">
      <c r="A479" t="inlineStr">
        <is>
          <t>L012</t>
        </is>
      </c>
      <c r="B479" s="6" t="n">
        <v>46057</v>
      </c>
      <c r="C479" t="inlineStr">
        <is>
          <t>EPA12</t>
        </is>
      </c>
      <c r="D479" t="n">
        <v>4</v>
      </c>
      <c r="E479" t="inlineStr">
        <is>
          <t>A002</t>
        </is>
      </c>
      <c r="F479" t="inlineStr">
        <is>
          <t>Faculty</t>
        </is>
      </c>
      <c r="G479" t="inlineStr">
        <is>
          <t>Sim</t>
        </is>
      </c>
      <c r="H479" t="inlineStr">
        <is>
          <t>CaseE</t>
        </is>
      </c>
      <c r="I479" s="3" t="n"/>
      <c r="J479" s="3" t="n"/>
      <c r="K479" t="n">
        <v>0</v>
      </c>
    </row>
    <row r="480">
      <c r="A480" t="inlineStr">
        <is>
          <t>L022</t>
        </is>
      </c>
      <c r="B480" s="6" t="n">
        <v>45931</v>
      </c>
      <c r="C480" t="inlineStr">
        <is>
          <t>EPA10</t>
        </is>
      </c>
      <c r="D480" t="n">
        <v>4</v>
      </c>
      <c r="E480" t="inlineStr">
        <is>
          <t>A011</t>
        </is>
      </c>
      <c r="F480" t="inlineStr">
        <is>
          <t>Nurse</t>
        </is>
      </c>
      <c r="G480" t="inlineStr">
        <is>
          <t>ED</t>
        </is>
      </c>
      <c r="H480" t="inlineStr">
        <is>
          <t>CaseA</t>
        </is>
      </c>
      <c r="I480" s="3" t="inlineStr">
        <is>
          <t>Clear structure and communication.</t>
        </is>
      </c>
      <c r="J480" s="3" t="inlineStr">
        <is>
          <t>Increase efficiency while maintaining safety checks.</t>
        </is>
      </c>
      <c r="K480" t="n">
        <v>0</v>
      </c>
    </row>
    <row r="481">
      <c r="A481" t="inlineStr">
        <is>
          <t>L002</t>
        </is>
      </c>
      <c r="B481" s="6" t="n">
        <v>46017</v>
      </c>
      <c r="C481" t="inlineStr">
        <is>
          <t>EPA11</t>
        </is>
      </c>
      <c r="D481" t="n">
        <v>4</v>
      </c>
      <c r="E481" t="inlineStr">
        <is>
          <t>A003</t>
        </is>
      </c>
      <c r="F481" t="inlineStr">
        <is>
          <t>Faculty</t>
        </is>
      </c>
      <c r="G481" t="inlineStr">
        <is>
          <t>ICU</t>
        </is>
      </c>
      <c r="H481" t="inlineStr">
        <is>
          <t>CaseF</t>
        </is>
      </c>
      <c r="I481" s="3" t="inlineStr">
        <is>
          <t>Professional and patient-centered approach.</t>
        </is>
      </c>
      <c r="J481" s="3" t="inlineStr">
        <is>
          <t>Be more concise and state the plan earlier.</t>
        </is>
      </c>
      <c r="K481" t="n">
        <v>0</v>
      </c>
    </row>
    <row r="482">
      <c r="A482" t="inlineStr">
        <is>
          <t>L012</t>
        </is>
      </c>
      <c r="B482" s="6" t="n">
        <v>46065</v>
      </c>
      <c r="C482" t="inlineStr">
        <is>
          <t>EPA01</t>
        </is>
      </c>
      <c r="D482" t="n">
        <v>3</v>
      </c>
      <c r="E482" t="inlineStr">
        <is>
          <t>A003</t>
        </is>
      </c>
      <c r="F482" t="inlineStr">
        <is>
          <t>Faculty</t>
        </is>
      </c>
      <c r="G482" t="inlineStr">
        <is>
          <t>OPD</t>
        </is>
      </c>
      <c r="H482" t="inlineStr">
        <is>
          <t>CaseC</t>
        </is>
      </c>
      <c r="I482" s="3" t="n"/>
      <c r="J482" s="3" t="n"/>
      <c r="K482" t="n">
        <v>0</v>
      </c>
    </row>
    <row r="483">
      <c r="A483" t="inlineStr">
        <is>
          <t>L013</t>
        </is>
      </c>
      <c r="B483" s="6" t="n">
        <v>46063</v>
      </c>
      <c r="C483" t="inlineStr">
        <is>
          <t>EPA10</t>
        </is>
      </c>
      <c r="D483" t="n">
        <v>3</v>
      </c>
      <c r="E483" t="inlineStr">
        <is>
          <t>A003</t>
        </is>
      </c>
      <c r="F483" t="inlineStr">
        <is>
          <t>Faculty</t>
        </is>
      </c>
      <c r="G483" t="inlineStr">
        <is>
          <t>OR</t>
        </is>
      </c>
      <c r="H483" t="inlineStr">
        <is>
          <t>CaseA</t>
        </is>
      </c>
      <c r="I483" s="3" t="inlineStr">
        <is>
          <t>Good clinical reasoning with key findings identified.</t>
        </is>
      </c>
      <c r="J483" s="3" t="inlineStr">
        <is>
          <t>Increase efficiency while maintaining safety checks.</t>
        </is>
      </c>
      <c r="K483" t="n">
        <v>0</v>
      </c>
    </row>
    <row r="484">
      <c r="A484" t="inlineStr">
        <is>
          <t>L020</t>
        </is>
      </c>
      <c r="B484" s="6" t="n">
        <v>45922</v>
      </c>
      <c r="C484" t="inlineStr">
        <is>
          <t>EPA06</t>
        </is>
      </c>
      <c r="D484" t="n">
        <v>1</v>
      </c>
      <c r="E484" t="inlineStr">
        <is>
          <t>A003</t>
        </is>
      </c>
      <c r="F484" t="inlineStr">
        <is>
          <t>Faculty</t>
        </is>
      </c>
      <c r="G484" t="inlineStr">
        <is>
          <t>Ward</t>
        </is>
      </c>
      <c r="H484" t="inlineStr">
        <is>
          <t>CaseF</t>
        </is>
      </c>
      <c r="I484" s="3" t="n"/>
      <c r="J484" s="3" t="n"/>
      <c r="K484" t="n">
        <v>0</v>
      </c>
    </row>
    <row r="485">
      <c r="A485" t="inlineStr">
        <is>
          <t>L022</t>
        </is>
      </c>
      <c r="B485" s="6" t="n">
        <v>46071</v>
      </c>
      <c r="C485" t="inlineStr">
        <is>
          <t>EPA02</t>
        </is>
      </c>
      <c r="D485" t="n">
        <v>3</v>
      </c>
      <c r="E485" t="inlineStr">
        <is>
          <t>A011</t>
        </is>
      </c>
      <c r="F485" t="inlineStr">
        <is>
          <t>Nurse</t>
        </is>
      </c>
      <c r="G485" t="inlineStr">
        <is>
          <t>Sim</t>
        </is>
      </c>
      <c r="H485" t="inlineStr">
        <is>
          <t>CaseA</t>
        </is>
      </c>
      <c r="I485" s="3" t="inlineStr">
        <is>
          <t>Effective teamwork and closed-loop communication.</t>
        </is>
      </c>
      <c r="J485" s="3" t="inlineStr">
        <is>
          <t>Clarify escalation criteria and communicate proactively.</t>
        </is>
      </c>
      <c r="K485" t="n">
        <v>0</v>
      </c>
    </row>
    <row r="486">
      <c r="A486" t="inlineStr">
        <is>
          <t>L002</t>
        </is>
      </c>
      <c r="B486" s="6" t="n">
        <v>46018</v>
      </c>
      <c r="C486" t="inlineStr">
        <is>
          <t>EPA02</t>
        </is>
      </c>
      <c r="D486" t="n">
        <v>4</v>
      </c>
      <c r="E486" t="inlineStr">
        <is>
          <t>A003</t>
        </is>
      </c>
      <c r="F486" t="inlineStr">
        <is>
          <t>Faculty</t>
        </is>
      </c>
      <c r="G486" t="inlineStr">
        <is>
          <t>ED</t>
        </is>
      </c>
      <c r="H486" t="inlineStr">
        <is>
          <t>CaseC</t>
        </is>
      </c>
      <c r="I486" s="3" t="n"/>
      <c r="J486" s="3" t="n"/>
      <c r="K486" t="n">
        <v>0</v>
      </c>
    </row>
    <row r="487">
      <c r="A487" t="inlineStr">
        <is>
          <t>L022</t>
        </is>
      </c>
      <c r="B487" s="6" t="n">
        <v>45947</v>
      </c>
      <c r="C487" t="inlineStr">
        <is>
          <t>EPA04</t>
        </is>
      </c>
      <c r="D487" t="n">
        <v>3</v>
      </c>
      <c r="E487" t="inlineStr">
        <is>
          <t>A009</t>
        </is>
      </c>
      <c r="F487" t="inlineStr">
        <is>
          <t>AlliedHealth</t>
        </is>
      </c>
      <c r="G487" t="inlineStr">
        <is>
          <t>Sim</t>
        </is>
      </c>
      <c r="H487" t="inlineStr">
        <is>
          <t>CaseC</t>
        </is>
      </c>
      <c r="I487" s="3" t="inlineStr">
        <is>
          <t>Good clinical reasoning with key findings identified.</t>
        </is>
      </c>
      <c r="J487" s="3" t="inlineStr">
        <is>
          <t>Be more concise and state the plan earlier.</t>
        </is>
      </c>
      <c r="K487" t="n">
        <v>0</v>
      </c>
    </row>
    <row r="488">
      <c r="A488" t="inlineStr">
        <is>
          <t>L022</t>
        </is>
      </c>
      <c r="B488" s="6" t="n">
        <v>46011</v>
      </c>
      <c r="C488" t="inlineStr">
        <is>
          <t>EPA12</t>
        </is>
      </c>
      <c r="D488" t="n">
        <v>3</v>
      </c>
      <c r="E488" t="inlineStr">
        <is>
          <t>A005</t>
        </is>
      </c>
      <c r="F488" t="inlineStr">
        <is>
          <t>Faculty</t>
        </is>
      </c>
      <c r="G488" t="inlineStr">
        <is>
          <t>Ward</t>
        </is>
      </c>
      <c r="H488" t="inlineStr">
        <is>
          <t>CaseD</t>
        </is>
      </c>
      <c r="I488" s="3" t="inlineStr">
        <is>
          <t>Effective teamwork and closed-loop communication.</t>
        </is>
      </c>
      <c r="J488" s="3" t="inlineStr">
        <is>
          <t>Increase efficiency while maintaining safety checks.</t>
        </is>
      </c>
      <c r="K488" t="n">
        <v>0</v>
      </c>
    </row>
    <row r="489">
      <c r="A489" t="inlineStr">
        <is>
          <t>L003</t>
        </is>
      </c>
      <c r="B489" s="6" t="n">
        <v>45932</v>
      </c>
      <c r="C489" t="inlineStr">
        <is>
          <t>EPA11</t>
        </is>
      </c>
      <c r="D489" t="n">
        <v>4</v>
      </c>
      <c r="E489" t="inlineStr">
        <is>
          <t>A012</t>
        </is>
      </c>
      <c r="F489" t="inlineStr">
        <is>
          <t>Faculty</t>
        </is>
      </c>
      <c r="G489" t="inlineStr">
        <is>
          <t>ICU</t>
        </is>
      </c>
      <c r="H489" t="inlineStr">
        <is>
          <t>CaseG</t>
        </is>
      </c>
      <c r="I489" s="3" t="n"/>
      <c r="J489" s="3" t="n"/>
      <c r="K489" t="n">
        <v>0</v>
      </c>
    </row>
    <row r="490">
      <c r="A490" t="inlineStr">
        <is>
          <t>L025</t>
        </is>
      </c>
      <c r="B490" s="6" t="n">
        <v>46052</v>
      </c>
      <c r="C490" t="inlineStr">
        <is>
          <t>EPA04</t>
        </is>
      </c>
      <c r="D490" t="n">
        <v>4</v>
      </c>
      <c r="E490" t="inlineStr">
        <is>
          <t>A005</t>
        </is>
      </c>
      <c r="F490" t="inlineStr">
        <is>
          <t>Faculty</t>
        </is>
      </c>
      <c r="G490" t="inlineStr">
        <is>
          <t>ICU</t>
        </is>
      </c>
      <c r="H490" t="inlineStr">
        <is>
          <t>CaseF</t>
        </is>
      </c>
      <c r="I490" s="3" t="inlineStr">
        <is>
          <t>Good clinical reasoning with key findings identified.</t>
        </is>
      </c>
      <c r="J490" s="3" t="inlineStr">
        <is>
          <t>Broaden the differential diagnosis and justify choices.</t>
        </is>
      </c>
      <c r="K490" t="n">
        <v>0</v>
      </c>
    </row>
    <row r="491">
      <c r="A491" t="inlineStr">
        <is>
          <t>L021</t>
        </is>
      </c>
      <c r="B491" s="6" t="n">
        <v>45904</v>
      </c>
      <c r="C491" t="inlineStr">
        <is>
          <t>EPA12</t>
        </is>
      </c>
      <c r="D491" t="n">
        <v>5</v>
      </c>
      <c r="E491" t="inlineStr">
        <is>
          <t>A008</t>
        </is>
      </c>
      <c r="F491" t="inlineStr">
        <is>
          <t>AlliedHealth</t>
        </is>
      </c>
      <c r="G491" t="inlineStr">
        <is>
          <t>Sim</t>
        </is>
      </c>
      <c r="H491" t="inlineStr">
        <is>
          <t>CaseB</t>
        </is>
      </c>
      <c r="I491" s="3" t="inlineStr">
        <is>
          <t>Appropriate prioritization and plan articulation.</t>
        </is>
      </c>
      <c r="J491" s="3" t="inlineStr">
        <is>
          <t>Clarify escalation criteria and communicate proactively.</t>
        </is>
      </c>
      <c r="K491" t="n">
        <v>0</v>
      </c>
    </row>
    <row r="492">
      <c r="A492" t="inlineStr">
        <is>
          <t>L017</t>
        </is>
      </c>
      <c r="B492" s="6" t="n">
        <v>45915</v>
      </c>
      <c r="C492" t="inlineStr">
        <is>
          <t>EPA06</t>
        </is>
      </c>
      <c r="D492" t="n">
        <v>2</v>
      </c>
      <c r="E492" t="inlineStr">
        <is>
          <t>A014</t>
        </is>
      </c>
      <c r="F492" t="inlineStr">
        <is>
          <t>Faculty</t>
        </is>
      </c>
      <c r="G492" t="inlineStr">
        <is>
          <t>OPD</t>
        </is>
      </c>
      <c r="H492" t="inlineStr">
        <is>
          <t>CaseA</t>
        </is>
      </c>
      <c r="I492" s="3" t="inlineStr">
        <is>
          <t>Clear structure and communication.</t>
        </is>
      </c>
      <c r="J492" s="3" t="n"/>
      <c r="K492" t="n">
        <v>0</v>
      </c>
    </row>
    <row r="493">
      <c r="A493" t="inlineStr">
        <is>
          <t>L024</t>
        </is>
      </c>
      <c r="B493" s="6" t="n">
        <v>45927</v>
      </c>
      <c r="C493" t="inlineStr">
        <is>
          <t>EPA03</t>
        </is>
      </c>
      <c r="D493" t="n">
        <v>5</v>
      </c>
      <c r="E493" t="inlineStr">
        <is>
          <t>A013</t>
        </is>
      </c>
      <c r="F493" t="inlineStr">
        <is>
          <t>Nurse</t>
        </is>
      </c>
      <c r="G493" t="inlineStr">
        <is>
          <t>OPD</t>
        </is>
      </c>
      <c r="H493" t="inlineStr">
        <is>
          <t>CaseC</t>
        </is>
      </c>
      <c r="I493" s="3" t="inlineStr">
        <is>
          <t>Professional and patient-centered approach.</t>
        </is>
      </c>
      <c r="J493" s="3" t="inlineStr">
        <is>
          <t>Broaden the differential diagnosis and justify choices.</t>
        </is>
      </c>
      <c r="K493" t="n">
        <v>0</v>
      </c>
    </row>
    <row r="494">
      <c r="A494" t="inlineStr">
        <is>
          <t>L020</t>
        </is>
      </c>
      <c r="B494" s="6" t="n">
        <v>45910</v>
      </c>
      <c r="C494" t="inlineStr">
        <is>
          <t>EPA01</t>
        </is>
      </c>
      <c r="D494" t="n">
        <v>4</v>
      </c>
      <c r="E494" t="inlineStr">
        <is>
          <t>A008</t>
        </is>
      </c>
      <c r="F494" t="inlineStr">
        <is>
          <t>AlliedHealth</t>
        </is>
      </c>
      <c r="G494" t="inlineStr">
        <is>
          <t>Ward</t>
        </is>
      </c>
      <c r="H494" t="inlineStr">
        <is>
          <t>CaseE</t>
        </is>
      </c>
      <c r="I494" s="3" t="inlineStr">
        <is>
          <t>Professional and patient-centered approach.</t>
        </is>
      </c>
      <c r="J494" s="3" t="inlineStr">
        <is>
          <t>Increase efficiency while maintaining safety checks.</t>
        </is>
      </c>
      <c r="K494" t="n">
        <v>0</v>
      </c>
    </row>
    <row r="495">
      <c r="A495" t="inlineStr">
        <is>
          <t>L020</t>
        </is>
      </c>
      <c r="B495" s="6" t="n">
        <v>45981</v>
      </c>
      <c r="C495" t="inlineStr">
        <is>
          <t>EPA08</t>
        </is>
      </c>
      <c r="D495" t="n">
        <v>4</v>
      </c>
      <c r="E495" t="inlineStr">
        <is>
          <t>A014</t>
        </is>
      </c>
      <c r="F495" t="inlineStr">
        <is>
          <t>Faculty</t>
        </is>
      </c>
      <c r="G495" t="inlineStr">
        <is>
          <t>Sim</t>
        </is>
      </c>
      <c r="H495" t="inlineStr">
        <is>
          <t>CaseA</t>
        </is>
      </c>
      <c r="I495" s="3" t="inlineStr">
        <is>
          <t>Appropriate prioritization and plan articulation.</t>
        </is>
      </c>
      <c r="J495" s="3" t="inlineStr">
        <is>
          <t>Be more concise and state the plan earlier.</t>
        </is>
      </c>
      <c r="K495" t="n">
        <v>0</v>
      </c>
    </row>
    <row r="496">
      <c r="A496" t="inlineStr">
        <is>
          <t>L005</t>
        </is>
      </c>
      <c r="B496" s="6" t="n">
        <v>45976</v>
      </c>
      <c r="C496" t="inlineStr">
        <is>
          <t>EPA10</t>
        </is>
      </c>
      <c r="D496" t="n">
        <v>2</v>
      </c>
      <c r="E496" t="inlineStr">
        <is>
          <t>A010</t>
        </is>
      </c>
      <c r="F496" t="inlineStr">
        <is>
          <t>Faculty</t>
        </is>
      </c>
      <c r="G496" t="inlineStr">
        <is>
          <t>OR</t>
        </is>
      </c>
      <c r="H496" t="inlineStr">
        <is>
          <t>CaseF</t>
        </is>
      </c>
      <c r="I496" s="3" t="n"/>
      <c r="J496" s="3" t="n"/>
      <c r="K496" t="n">
        <v>0</v>
      </c>
    </row>
    <row r="497">
      <c r="A497" t="inlineStr">
        <is>
          <t>L021</t>
        </is>
      </c>
      <c r="B497" s="6" t="n">
        <v>46073</v>
      </c>
      <c r="C497" t="inlineStr">
        <is>
          <t>EPA02</t>
        </is>
      </c>
      <c r="D497" t="n">
        <v>5</v>
      </c>
      <c r="E497" t="inlineStr">
        <is>
          <t>A007</t>
        </is>
      </c>
      <c r="F497" t="inlineStr">
        <is>
          <t>Faculty</t>
        </is>
      </c>
      <c r="G497" t="inlineStr">
        <is>
          <t>ICU</t>
        </is>
      </c>
      <c r="H497" t="inlineStr">
        <is>
          <t>CaseF</t>
        </is>
      </c>
      <c r="I497" s="3" t="inlineStr">
        <is>
          <t>Good clinical reasoning with key findings identified.</t>
        </is>
      </c>
      <c r="J497" s="3" t="inlineStr">
        <is>
          <t>Document key times and decisions more clearly.</t>
        </is>
      </c>
      <c r="K497" t="n">
        <v>0</v>
      </c>
    </row>
    <row r="498">
      <c r="A498" t="inlineStr">
        <is>
          <t>L025</t>
        </is>
      </c>
      <c r="B498" s="6" t="n">
        <v>46002</v>
      </c>
      <c r="C498" t="inlineStr">
        <is>
          <t>EPA04</t>
        </is>
      </c>
      <c r="D498" t="n">
        <v>5</v>
      </c>
      <c r="E498" t="inlineStr">
        <is>
          <t>A005</t>
        </is>
      </c>
      <c r="F498" t="inlineStr">
        <is>
          <t>Faculty</t>
        </is>
      </c>
      <c r="G498" t="inlineStr">
        <is>
          <t>ICU</t>
        </is>
      </c>
      <c r="H498" t="inlineStr">
        <is>
          <t>CaseD</t>
        </is>
      </c>
      <c r="I498" s="3" t="n"/>
      <c r="J498" s="3" t="n"/>
      <c r="K498" t="n">
        <v>0</v>
      </c>
    </row>
    <row r="499">
      <c r="A499" t="inlineStr">
        <is>
          <t>L023</t>
        </is>
      </c>
      <c r="B499" s="6" t="n">
        <v>45947</v>
      </c>
      <c r="C499" t="inlineStr">
        <is>
          <t>EPA12</t>
        </is>
      </c>
      <c r="D499" t="n">
        <v>3</v>
      </c>
      <c r="E499" t="inlineStr">
        <is>
          <t>A006</t>
        </is>
      </c>
      <c r="F499" t="inlineStr">
        <is>
          <t>Faculty</t>
        </is>
      </c>
      <c r="G499" t="inlineStr">
        <is>
          <t>OPD</t>
        </is>
      </c>
      <c r="H499" t="inlineStr">
        <is>
          <t>CaseD</t>
        </is>
      </c>
      <c r="I499" s="3" t="inlineStr">
        <is>
          <t>Appropriate prioritization and plan articulation.</t>
        </is>
      </c>
      <c r="J499" s="3" t="inlineStr">
        <is>
          <t>Increase efficiency while maintaining safety checks.</t>
        </is>
      </c>
      <c r="K499" t="n">
        <v>0</v>
      </c>
    </row>
    <row r="500">
      <c r="A500" t="inlineStr">
        <is>
          <t>L004</t>
        </is>
      </c>
      <c r="B500" s="6" t="n">
        <v>45941</v>
      </c>
      <c r="C500" t="inlineStr">
        <is>
          <t>EPA09</t>
        </is>
      </c>
      <c r="D500" t="n">
        <v>4</v>
      </c>
      <c r="E500" t="inlineStr">
        <is>
          <t>A003</t>
        </is>
      </c>
      <c r="F500" t="inlineStr">
        <is>
          <t>Faculty</t>
        </is>
      </c>
      <c r="G500" t="inlineStr">
        <is>
          <t>Ward</t>
        </is>
      </c>
      <c r="H500" t="inlineStr">
        <is>
          <t>CaseB</t>
        </is>
      </c>
      <c r="I500" s="3" t="inlineStr">
        <is>
          <t>Good clinical reasoning with key findings identified.</t>
        </is>
      </c>
      <c r="J500" s="3" t="inlineStr">
        <is>
          <t>Increase efficiency while maintaining safety checks.</t>
        </is>
      </c>
      <c r="K500" t="n">
        <v>0</v>
      </c>
    </row>
    <row r="501">
      <c r="A501" t="inlineStr">
        <is>
          <t>L006</t>
        </is>
      </c>
      <c r="B501" s="6" t="n">
        <v>46052</v>
      </c>
      <c r="C501" t="inlineStr">
        <is>
          <t>EPA11</t>
        </is>
      </c>
      <c r="D501" t="n">
        <v>3</v>
      </c>
      <c r="E501" t="inlineStr">
        <is>
          <t>A013</t>
        </is>
      </c>
      <c r="F501" t="inlineStr">
        <is>
          <t>Nurse</t>
        </is>
      </c>
      <c r="G501" t="inlineStr">
        <is>
          <t>ICU</t>
        </is>
      </c>
      <c r="H501" t="inlineStr">
        <is>
          <t>CaseA</t>
        </is>
      </c>
      <c r="I501" s="3" t="inlineStr">
        <is>
          <t>Appropriate prioritization and plan articulation.</t>
        </is>
      </c>
      <c r="J501" s="3" t="inlineStr">
        <is>
          <t>Be more concise and state the plan earlier.</t>
        </is>
      </c>
      <c r="K501" t="n">
        <v>0</v>
      </c>
    </row>
    <row r="502">
      <c r="A502" t="inlineStr">
        <is>
          <t>L007</t>
        </is>
      </c>
      <c r="B502" s="6" t="n">
        <v>46042</v>
      </c>
      <c r="C502" t="inlineStr">
        <is>
          <t>EPA08</t>
        </is>
      </c>
      <c r="D502" t="n">
        <v>3</v>
      </c>
      <c r="E502" t="inlineStr">
        <is>
          <t>A011</t>
        </is>
      </c>
      <c r="F502" t="inlineStr">
        <is>
          <t>Nurse</t>
        </is>
      </c>
      <c r="G502" t="inlineStr">
        <is>
          <t>Ward</t>
        </is>
      </c>
      <c r="H502" t="inlineStr">
        <is>
          <t>CaseE</t>
        </is>
      </c>
      <c r="I502" s="3" t="inlineStr">
        <is>
          <t>Clear structure and communication.</t>
        </is>
      </c>
      <c r="J502" s="3" t="inlineStr">
        <is>
          <t>Document key times and decisions more clearly.</t>
        </is>
      </c>
      <c r="K502" t="n">
        <v>0</v>
      </c>
    </row>
    <row r="503">
      <c r="A503" t="inlineStr">
        <is>
          <t>L011</t>
        </is>
      </c>
      <c r="B503" s="6" t="n">
        <v>45976</v>
      </c>
      <c r="C503" t="inlineStr">
        <is>
          <t>EPA02</t>
        </is>
      </c>
      <c r="D503" t="n">
        <v>3</v>
      </c>
      <c r="E503" t="inlineStr">
        <is>
          <t>A003</t>
        </is>
      </c>
      <c r="F503" t="inlineStr">
        <is>
          <t>Faculty</t>
        </is>
      </c>
      <c r="G503" t="inlineStr">
        <is>
          <t>OPD</t>
        </is>
      </c>
      <c r="H503" t="inlineStr">
        <is>
          <t>CaseA</t>
        </is>
      </c>
      <c r="I503" s="3" t="inlineStr">
        <is>
          <t>Clear structure and communication.</t>
        </is>
      </c>
      <c r="J503" s="3" t="n"/>
      <c r="K503" t="n">
        <v>0</v>
      </c>
    </row>
    <row r="504">
      <c r="A504" t="inlineStr">
        <is>
          <t>L007</t>
        </is>
      </c>
      <c r="B504" s="6" t="n">
        <v>45939</v>
      </c>
      <c r="C504" t="inlineStr">
        <is>
          <t>EPA05</t>
        </is>
      </c>
      <c r="D504" t="n">
        <v>4</v>
      </c>
      <c r="E504" t="inlineStr">
        <is>
          <t>A008</t>
        </is>
      </c>
      <c r="F504" t="inlineStr">
        <is>
          <t>AlliedHealth</t>
        </is>
      </c>
      <c r="G504" t="inlineStr">
        <is>
          <t>ED</t>
        </is>
      </c>
      <c r="H504" t="inlineStr">
        <is>
          <t>CaseC</t>
        </is>
      </c>
      <c r="I504" s="3" t="inlineStr">
        <is>
          <t>Professional and patient-centered approach.</t>
        </is>
      </c>
      <c r="J504" s="3" t="inlineStr">
        <is>
          <t>Document key times and decisions more clearly.</t>
        </is>
      </c>
      <c r="K504" t="n">
        <v>0</v>
      </c>
    </row>
    <row r="505">
      <c r="A505" t="inlineStr">
        <is>
          <t>L003</t>
        </is>
      </c>
      <c r="B505" s="6" t="n">
        <v>45909</v>
      </c>
      <c r="C505" t="inlineStr">
        <is>
          <t>EPA02</t>
        </is>
      </c>
      <c r="D505" t="n">
        <v>2</v>
      </c>
      <c r="E505" t="inlineStr">
        <is>
          <t>A012</t>
        </is>
      </c>
      <c r="F505" t="inlineStr">
        <is>
          <t>Faculty</t>
        </is>
      </c>
      <c r="G505" t="inlineStr">
        <is>
          <t>ED</t>
        </is>
      </c>
      <c r="H505" t="inlineStr">
        <is>
          <t>CaseC</t>
        </is>
      </c>
      <c r="I505" s="3" t="n"/>
      <c r="J505" s="3" t="n"/>
      <c r="K505" t="n">
        <v>0</v>
      </c>
    </row>
    <row r="506">
      <c r="A506" t="inlineStr">
        <is>
          <t>L024</t>
        </is>
      </c>
      <c r="B506" s="6" t="n">
        <v>45996</v>
      </c>
      <c r="C506" t="inlineStr">
        <is>
          <t>EPA05</t>
        </is>
      </c>
      <c r="D506" t="n">
        <v>4</v>
      </c>
      <c r="E506" t="inlineStr">
        <is>
          <t>A013</t>
        </is>
      </c>
      <c r="F506" t="inlineStr">
        <is>
          <t>Nurse</t>
        </is>
      </c>
      <c r="G506" t="inlineStr">
        <is>
          <t>Ward</t>
        </is>
      </c>
      <c r="H506" t="inlineStr">
        <is>
          <t>CaseG</t>
        </is>
      </c>
      <c r="I506" s="3" t="inlineStr">
        <is>
          <t>Good clinical reasoning with key findings identified.</t>
        </is>
      </c>
      <c r="J506" s="3" t="inlineStr">
        <is>
          <t>Document key times and decisions more clearly.</t>
        </is>
      </c>
      <c r="K506" t="n">
        <v>0</v>
      </c>
    </row>
    <row r="507">
      <c r="A507" t="inlineStr">
        <is>
          <t>L024</t>
        </is>
      </c>
      <c r="B507" s="6" t="n">
        <v>45982</v>
      </c>
      <c r="C507" t="inlineStr">
        <is>
          <t>EPA01</t>
        </is>
      </c>
      <c r="D507" t="n">
        <v>4</v>
      </c>
      <c r="E507" t="inlineStr">
        <is>
          <t>A002</t>
        </is>
      </c>
      <c r="F507" t="inlineStr">
        <is>
          <t>Faculty</t>
        </is>
      </c>
      <c r="G507" t="inlineStr">
        <is>
          <t>Ward</t>
        </is>
      </c>
      <c r="H507" t="inlineStr">
        <is>
          <t>CaseD</t>
        </is>
      </c>
      <c r="I507" s="3" t="n"/>
      <c r="J507" s="3" t="n"/>
      <c r="K507" t="n">
        <v>0</v>
      </c>
    </row>
    <row r="508">
      <c r="A508" t="inlineStr">
        <is>
          <t>L012</t>
        </is>
      </c>
      <c r="B508" s="6" t="n">
        <v>45900</v>
      </c>
      <c r="C508" t="inlineStr">
        <is>
          <t>EPA04</t>
        </is>
      </c>
      <c r="D508" t="n">
        <v>4</v>
      </c>
      <c r="E508" t="inlineStr">
        <is>
          <t>A013</t>
        </is>
      </c>
      <c r="F508" t="inlineStr">
        <is>
          <t>Nurse</t>
        </is>
      </c>
      <c r="G508" t="inlineStr">
        <is>
          <t>Ward</t>
        </is>
      </c>
      <c r="H508" t="inlineStr">
        <is>
          <t>CaseA</t>
        </is>
      </c>
      <c r="I508" s="3" t="n"/>
      <c r="J508" s="3" t="n"/>
      <c r="K508" t="n">
        <v>0</v>
      </c>
    </row>
    <row r="509">
      <c r="A509" t="inlineStr">
        <is>
          <t>L003</t>
        </is>
      </c>
      <c r="B509" s="6" t="n">
        <v>46068</v>
      </c>
      <c r="C509" t="inlineStr">
        <is>
          <t>EPA06</t>
        </is>
      </c>
      <c r="D509" t="n">
        <v>1</v>
      </c>
      <c r="E509" t="inlineStr">
        <is>
          <t>A004</t>
        </is>
      </c>
      <c r="F509" t="inlineStr">
        <is>
          <t>Faculty</t>
        </is>
      </c>
      <c r="G509" t="inlineStr">
        <is>
          <t>Sim</t>
        </is>
      </c>
      <c r="H509" t="inlineStr">
        <is>
          <t>CaseD</t>
        </is>
      </c>
      <c r="I509" s="3" t="inlineStr">
        <is>
          <t>Good clinical reasoning with key findings identified.</t>
        </is>
      </c>
      <c r="J509" s="3" t="inlineStr">
        <is>
          <t>Broaden the differential diagnosis and justify choices.</t>
        </is>
      </c>
      <c r="K509" t="n">
        <v>0</v>
      </c>
    </row>
    <row r="510">
      <c r="A510" t="inlineStr">
        <is>
          <t>L013</t>
        </is>
      </c>
      <c r="B510" s="6" t="n">
        <v>45909</v>
      </c>
      <c r="C510" t="inlineStr">
        <is>
          <t>EPA11</t>
        </is>
      </c>
      <c r="D510" t="n">
        <v>4</v>
      </c>
      <c r="E510" t="inlineStr">
        <is>
          <t>A011</t>
        </is>
      </c>
      <c r="F510" t="inlineStr">
        <is>
          <t>Nurse</t>
        </is>
      </c>
      <c r="G510" t="inlineStr">
        <is>
          <t>OR</t>
        </is>
      </c>
      <c r="H510" t="inlineStr">
        <is>
          <t>CaseB</t>
        </is>
      </c>
      <c r="I510" s="3" t="n"/>
      <c r="J510" s="3" t="n"/>
      <c r="K510" t="n">
        <v>0</v>
      </c>
    </row>
    <row r="511">
      <c r="A511" t="inlineStr">
        <is>
          <t>L016</t>
        </is>
      </c>
      <c r="B511" s="6" t="n">
        <v>45950</v>
      </c>
      <c r="C511" t="inlineStr">
        <is>
          <t>EPA10</t>
        </is>
      </c>
      <c r="D511" t="n">
        <v>5</v>
      </c>
      <c r="E511" t="inlineStr">
        <is>
          <t>A011</t>
        </is>
      </c>
      <c r="F511" t="inlineStr">
        <is>
          <t>Nurse</t>
        </is>
      </c>
      <c r="G511" t="inlineStr">
        <is>
          <t>OPD</t>
        </is>
      </c>
      <c r="H511" t="inlineStr">
        <is>
          <t>CaseC</t>
        </is>
      </c>
      <c r="I511" s="3" t="inlineStr">
        <is>
          <t>Appropriate prioritization and plan articulation.</t>
        </is>
      </c>
      <c r="J511" s="3" t="inlineStr">
        <is>
          <t>Clarify escalation criteria and communicate proactively.</t>
        </is>
      </c>
      <c r="K511" t="n">
        <v>0</v>
      </c>
    </row>
    <row r="512">
      <c r="A512" t="inlineStr">
        <is>
          <t>L022</t>
        </is>
      </c>
      <c r="B512" s="6" t="n">
        <v>46030</v>
      </c>
      <c r="C512" t="inlineStr">
        <is>
          <t>EPA02</t>
        </is>
      </c>
      <c r="D512" t="n">
        <v>3</v>
      </c>
      <c r="E512" t="inlineStr">
        <is>
          <t>A015</t>
        </is>
      </c>
      <c r="F512" t="inlineStr">
        <is>
          <t>Faculty</t>
        </is>
      </c>
      <c r="G512" t="inlineStr">
        <is>
          <t>Sim</t>
        </is>
      </c>
      <c r="H512" t="inlineStr">
        <is>
          <t>CaseB</t>
        </is>
      </c>
      <c r="I512" s="3" t="inlineStr">
        <is>
          <t>Professional and patient-centered approach.</t>
        </is>
      </c>
      <c r="J512" s="3" t="inlineStr">
        <is>
          <t>Clarify escalation criteria and communicate proactively.</t>
        </is>
      </c>
      <c r="K512" t="n">
        <v>0</v>
      </c>
    </row>
    <row r="513">
      <c r="A513" t="inlineStr">
        <is>
          <t>L024</t>
        </is>
      </c>
      <c r="B513" s="6" t="n">
        <v>46049</v>
      </c>
      <c r="C513" t="inlineStr">
        <is>
          <t>EPA08</t>
        </is>
      </c>
      <c r="D513" t="n">
        <v>5</v>
      </c>
      <c r="E513" t="inlineStr">
        <is>
          <t>A013</t>
        </is>
      </c>
      <c r="F513" t="inlineStr">
        <is>
          <t>Nurse</t>
        </is>
      </c>
      <c r="G513" t="inlineStr">
        <is>
          <t>OPD</t>
        </is>
      </c>
      <c r="H513" t="inlineStr">
        <is>
          <t>CaseG</t>
        </is>
      </c>
      <c r="I513" s="3" t="inlineStr">
        <is>
          <t>Good clinical reasoning with key findings identified.</t>
        </is>
      </c>
      <c r="J513" s="3" t="inlineStr">
        <is>
          <t>Clarify escalation criteria and communicate proactively.</t>
        </is>
      </c>
      <c r="K513" t="n">
        <v>0</v>
      </c>
    </row>
    <row r="514">
      <c r="A514" t="inlineStr">
        <is>
          <t>L010</t>
        </is>
      </c>
      <c r="B514" s="6" t="n">
        <v>46044</v>
      </c>
      <c r="C514" t="inlineStr">
        <is>
          <t>EPA01</t>
        </is>
      </c>
      <c r="D514" t="n">
        <v>4</v>
      </c>
      <c r="E514" t="inlineStr">
        <is>
          <t>A007</t>
        </is>
      </c>
      <c r="F514" t="inlineStr">
        <is>
          <t>Faculty</t>
        </is>
      </c>
      <c r="G514" t="inlineStr">
        <is>
          <t>Ward</t>
        </is>
      </c>
      <c r="H514" t="inlineStr">
        <is>
          <t>CaseB</t>
        </is>
      </c>
      <c r="I514" s="3" t="inlineStr">
        <is>
          <t>Clear structure and communication.</t>
        </is>
      </c>
      <c r="J514" s="3" t="inlineStr">
        <is>
          <t>Broaden the differential diagnosis and justify choices.</t>
        </is>
      </c>
      <c r="K514" t="n">
        <v>0</v>
      </c>
    </row>
    <row r="515">
      <c r="A515" t="inlineStr">
        <is>
          <t>L023</t>
        </is>
      </c>
      <c r="B515" s="6" t="n">
        <v>45960</v>
      </c>
      <c r="C515" t="inlineStr">
        <is>
          <t>EPA05</t>
        </is>
      </c>
      <c r="D515" t="n">
        <v>5</v>
      </c>
      <c r="E515" t="inlineStr">
        <is>
          <t>A002</t>
        </is>
      </c>
      <c r="F515" t="inlineStr">
        <is>
          <t>Faculty</t>
        </is>
      </c>
      <c r="G515" t="inlineStr">
        <is>
          <t>Ward</t>
        </is>
      </c>
      <c r="H515" t="inlineStr">
        <is>
          <t>CaseE</t>
        </is>
      </c>
      <c r="I515" s="3" t="inlineStr">
        <is>
          <t>Clear structure and communication.</t>
        </is>
      </c>
      <c r="J515" s="3" t="inlineStr">
        <is>
          <t>Broaden the differential diagnosis and justify choices.</t>
        </is>
      </c>
      <c r="K515" t="n">
        <v>0</v>
      </c>
    </row>
    <row r="516">
      <c r="A516" t="inlineStr">
        <is>
          <t>L015</t>
        </is>
      </c>
      <c r="B516" s="6" t="n">
        <v>46006</v>
      </c>
      <c r="C516" t="inlineStr">
        <is>
          <t>EPA02</t>
        </is>
      </c>
      <c r="D516" t="n">
        <v>4</v>
      </c>
      <c r="E516" t="inlineStr">
        <is>
          <t>A014</t>
        </is>
      </c>
      <c r="F516" t="inlineStr">
        <is>
          <t>Faculty</t>
        </is>
      </c>
      <c r="G516" t="inlineStr">
        <is>
          <t>Sim</t>
        </is>
      </c>
      <c r="H516" t="inlineStr">
        <is>
          <t>CaseG</t>
        </is>
      </c>
      <c r="I516" s="3" t="inlineStr">
        <is>
          <t>Clear structure and communication.</t>
        </is>
      </c>
      <c r="J516" s="3" t="n"/>
      <c r="K516" t="n">
        <v>0</v>
      </c>
    </row>
    <row r="517">
      <c r="A517" t="inlineStr">
        <is>
          <t>L003</t>
        </is>
      </c>
      <c r="B517" s="6" t="n">
        <v>46065</v>
      </c>
      <c r="C517" t="inlineStr">
        <is>
          <t>EPA12</t>
        </is>
      </c>
      <c r="D517" t="n">
        <v>4</v>
      </c>
      <c r="E517" t="inlineStr">
        <is>
          <t>A007</t>
        </is>
      </c>
      <c r="F517" t="inlineStr">
        <is>
          <t>Faculty</t>
        </is>
      </c>
      <c r="G517" t="inlineStr">
        <is>
          <t>Ward</t>
        </is>
      </c>
      <c r="H517" t="inlineStr">
        <is>
          <t>CaseF</t>
        </is>
      </c>
      <c r="I517" s="3" t="n"/>
      <c r="J517" s="3" t="n"/>
      <c r="K517" t="n">
        <v>0</v>
      </c>
    </row>
    <row r="518">
      <c r="A518" t="inlineStr">
        <is>
          <t>L002</t>
        </is>
      </c>
      <c r="B518" s="6" t="n">
        <v>45904</v>
      </c>
      <c r="C518" t="inlineStr">
        <is>
          <t>EPA05</t>
        </is>
      </c>
      <c r="D518" t="n">
        <v>5</v>
      </c>
      <c r="E518" t="inlineStr">
        <is>
          <t>A011</t>
        </is>
      </c>
      <c r="F518" t="inlineStr">
        <is>
          <t>Nurse</t>
        </is>
      </c>
      <c r="G518" t="inlineStr">
        <is>
          <t>OR</t>
        </is>
      </c>
      <c r="H518" t="inlineStr">
        <is>
          <t>CaseE</t>
        </is>
      </c>
      <c r="I518" s="3" t="inlineStr">
        <is>
          <t>Effective teamwork and closed-loop communication.</t>
        </is>
      </c>
      <c r="J518" s="3" t="inlineStr">
        <is>
          <t>Broaden the differential diagnosis and justify choices.</t>
        </is>
      </c>
      <c r="K518" t="n">
        <v>0</v>
      </c>
    </row>
    <row r="519">
      <c r="A519" t="inlineStr">
        <is>
          <t>L015</t>
        </is>
      </c>
      <c r="B519" s="6" t="n">
        <v>45956</v>
      </c>
      <c r="C519" t="inlineStr">
        <is>
          <t>EPA08</t>
        </is>
      </c>
      <c r="D519" t="n">
        <v>4</v>
      </c>
      <c r="E519" t="inlineStr">
        <is>
          <t>A006</t>
        </is>
      </c>
      <c r="F519" t="inlineStr">
        <is>
          <t>Faculty</t>
        </is>
      </c>
      <c r="G519" t="inlineStr">
        <is>
          <t>ED</t>
        </is>
      </c>
      <c r="H519" t="inlineStr">
        <is>
          <t>CaseC</t>
        </is>
      </c>
      <c r="I519" s="3" t="inlineStr">
        <is>
          <t>Appropriate prioritization and plan articulation.</t>
        </is>
      </c>
      <c r="J519" s="3" t="inlineStr">
        <is>
          <t>Be more concise and state the plan earlier.</t>
        </is>
      </c>
      <c r="K519" t="n">
        <v>0</v>
      </c>
    </row>
    <row r="520">
      <c r="A520" t="inlineStr">
        <is>
          <t>L008</t>
        </is>
      </c>
      <c r="B520" s="6" t="n">
        <v>45956</v>
      </c>
      <c r="C520" t="inlineStr">
        <is>
          <t>EPA02</t>
        </is>
      </c>
      <c r="D520" t="n">
        <v>4</v>
      </c>
      <c r="E520" t="inlineStr">
        <is>
          <t>A013</t>
        </is>
      </c>
      <c r="F520" t="inlineStr">
        <is>
          <t>Nurse</t>
        </is>
      </c>
      <c r="G520" t="inlineStr">
        <is>
          <t>OR</t>
        </is>
      </c>
      <c r="H520" t="inlineStr">
        <is>
          <t>CaseG</t>
        </is>
      </c>
      <c r="I520" s="3" t="inlineStr">
        <is>
          <t>Good clinical reasoning with key findings identified.</t>
        </is>
      </c>
      <c r="J520" s="3" t="inlineStr">
        <is>
          <t>Increase efficiency while maintaining safety checks.</t>
        </is>
      </c>
      <c r="K520" t="n">
        <v>0</v>
      </c>
    </row>
    <row r="521">
      <c r="A521" t="inlineStr">
        <is>
          <t>L020</t>
        </is>
      </c>
      <c r="B521" s="6" t="n">
        <v>45907</v>
      </c>
      <c r="C521" t="inlineStr">
        <is>
          <t>EPA11</t>
        </is>
      </c>
      <c r="D521" t="n">
        <v>3</v>
      </c>
      <c r="E521" t="inlineStr">
        <is>
          <t>A002</t>
        </is>
      </c>
      <c r="F521" t="inlineStr">
        <is>
          <t>Faculty</t>
        </is>
      </c>
      <c r="G521" t="inlineStr">
        <is>
          <t>ICU</t>
        </is>
      </c>
      <c r="H521" t="inlineStr">
        <is>
          <t>CaseE</t>
        </is>
      </c>
      <c r="I521" s="3" t="inlineStr">
        <is>
          <t>Effective teamwork and closed-loop communication.</t>
        </is>
      </c>
      <c r="J521" s="3" t="inlineStr">
        <is>
          <t>Be more concise and state the plan earlier.</t>
        </is>
      </c>
      <c r="K521" t="n">
        <v>0</v>
      </c>
    </row>
    <row r="522">
      <c r="A522" t="inlineStr">
        <is>
          <t>L015</t>
        </is>
      </c>
      <c r="B522" s="6" t="n">
        <v>45927</v>
      </c>
      <c r="C522" t="inlineStr">
        <is>
          <t>EPA09</t>
        </is>
      </c>
      <c r="D522" t="n">
        <v>3</v>
      </c>
      <c r="E522" t="inlineStr">
        <is>
          <t>A003</t>
        </is>
      </c>
      <c r="F522" t="inlineStr">
        <is>
          <t>Faculty</t>
        </is>
      </c>
      <c r="G522" t="inlineStr">
        <is>
          <t>ICU</t>
        </is>
      </c>
      <c r="H522" t="inlineStr">
        <is>
          <t>CaseC</t>
        </is>
      </c>
      <c r="I522" s="3" t="n"/>
      <c r="J522" s="3" t="n"/>
      <c r="K522" t="n">
        <v>0</v>
      </c>
    </row>
    <row r="523">
      <c r="A523" t="inlineStr">
        <is>
          <t>L017</t>
        </is>
      </c>
      <c r="B523" s="6" t="n">
        <v>45950</v>
      </c>
      <c r="C523" t="inlineStr">
        <is>
          <t>EPA07</t>
        </is>
      </c>
      <c r="D523" t="n">
        <v>2</v>
      </c>
      <c r="E523" t="inlineStr">
        <is>
          <t>A007</t>
        </is>
      </c>
      <c r="F523" t="inlineStr">
        <is>
          <t>Faculty</t>
        </is>
      </c>
      <c r="G523" t="inlineStr">
        <is>
          <t>ED</t>
        </is>
      </c>
      <c r="H523" t="inlineStr">
        <is>
          <t>CaseC</t>
        </is>
      </c>
      <c r="I523" s="3" t="inlineStr">
        <is>
          <t>Clear structure and communication.</t>
        </is>
      </c>
      <c r="J523" s="3" t="inlineStr">
        <is>
          <t>Broaden the differential diagnosis and justify choices.</t>
        </is>
      </c>
      <c r="K523" t="n">
        <v>0</v>
      </c>
    </row>
    <row r="524">
      <c r="A524" t="inlineStr">
        <is>
          <t>L009</t>
        </is>
      </c>
      <c r="B524" s="6" t="n">
        <v>46032</v>
      </c>
      <c r="C524" t="inlineStr">
        <is>
          <t>EPA11</t>
        </is>
      </c>
      <c r="D524" t="n">
        <v>4</v>
      </c>
      <c r="E524" t="inlineStr">
        <is>
          <t>A002</t>
        </is>
      </c>
      <c r="F524" t="inlineStr">
        <is>
          <t>Faculty</t>
        </is>
      </c>
      <c r="G524" t="inlineStr">
        <is>
          <t>OR</t>
        </is>
      </c>
      <c r="H524" t="inlineStr">
        <is>
          <t>CaseC</t>
        </is>
      </c>
      <c r="I524" s="3" t="inlineStr">
        <is>
          <t>Effective teamwork and closed-loop communication.</t>
        </is>
      </c>
      <c r="J524" s="3" t="inlineStr">
        <is>
          <t>Clarify escalation criteria and communicate proactively.</t>
        </is>
      </c>
      <c r="K524" t="n">
        <v>0</v>
      </c>
    </row>
    <row r="525">
      <c r="A525" t="inlineStr">
        <is>
          <t>L024</t>
        </is>
      </c>
      <c r="B525" s="6" t="n">
        <v>46052</v>
      </c>
      <c r="C525" t="inlineStr">
        <is>
          <t>EPA03</t>
        </is>
      </c>
      <c r="D525" t="n">
        <v>4</v>
      </c>
      <c r="E525" t="inlineStr">
        <is>
          <t>A013</t>
        </is>
      </c>
      <c r="F525" t="inlineStr">
        <is>
          <t>Nurse</t>
        </is>
      </c>
      <c r="G525" t="inlineStr">
        <is>
          <t>Sim</t>
        </is>
      </c>
      <c r="H525" t="inlineStr">
        <is>
          <t>CaseB</t>
        </is>
      </c>
      <c r="I525" s="3" t="n"/>
      <c r="J525" s="3" t="n"/>
      <c r="K525" t="n">
        <v>0</v>
      </c>
    </row>
    <row r="526">
      <c r="A526" t="inlineStr">
        <is>
          <t>L015</t>
        </is>
      </c>
      <c r="B526" s="6" t="n">
        <v>45964</v>
      </c>
      <c r="C526" t="inlineStr">
        <is>
          <t>EPA06</t>
        </is>
      </c>
      <c r="D526" t="n">
        <v>3</v>
      </c>
      <c r="E526" t="inlineStr">
        <is>
          <t>A006</t>
        </is>
      </c>
      <c r="F526" t="inlineStr">
        <is>
          <t>Faculty</t>
        </is>
      </c>
      <c r="G526" t="inlineStr">
        <is>
          <t>Ward</t>
        </is>
      </c>
      <c r="H526" t="inlineStr">
        <is>
          <t>CaseF</t>
        </is>
      </c>
      <c r="I526" s="3" t="inlineStr">
        <is>
          <t>Appropriate prioritization and plan articulation.</t>
        </is>
      </c>
      <c r="J526" s="3" t="inlineStr">
        <is>
          <t>Clarify escalation criteria and communicate proactively.</t>
        </is>
      </c>
      <c r="K526" t="n">
        <v>0</v>
      </c>
    </row>
    <row r="527">
      <c r="A527" t="inlineStr">
        <is>
          <t>L017</t>
        </is>
      </c>
      <c r="B527" s="6" t="n">
        <v>45899</v>
      </c>
      <c r="C527" t="inlineStr">
        <is>
          <t>EPA03</t>
        </is>
      </c>
      <c r="D527" t="n">
        <v>3</v>
      </c>
      <c r="E527" t="inlineStr">
        <is>
          <t>A010</t>
        </is>
      </c>
      <c r="F527" t="inlineStr">
        <is>
          <t>Faculty</t>
        </is>
      </c>
      <c r="G527" t="inlineStr">
        <is>
          <t>ICU</t>
        </is>
      </c>
      <c r="H527" t="inlineStr">
        <is>
          <t>CaseE</t>
        </is>
      </c>
      <c r="I527" s="3" t="n"/>
      <c r="J527" s="3" t="n"/>
      <c r="K527" t="n">
        <v>0</v>
      </c>
    </row>
    <row r="528">
      <c r="A528" t="inlineStr">
        <is>
          <t>L005</t>
        </is>
      </c>
      <c r="B528" s="6" t="n">
        <v>45913</v>
      </c>
      <c r="C528" t="inlineStr">
        <is>
          <t>EPA08</t>
        </is>
      </c>
      <c r="D528" t="n">
        <v>3</v>
      </c>
      <c r="E528" t="inlineStr">
        <is>
          <t>A005</t>
        </is>
      </c>
      <c r="F528" t="inlineStr">
        <is>
          <t>Faculty</t>
        </is>
      </c>
      <c r="G528" t="inlineStr">
        <is>
          <t>Ward</t>
        </is>
      </c>
      <c r="H528" t="inlineStr">
        <is>
          <t>CaseD</t>
        </is>
      </c>
      <c r="I528" s="3" t="n"/>
      <c r="J528" s="3" t="n"/>
      <c r="K528" t="n">
        <v>0</v>
      </c>
    </row>
    <row r="529">
      <c r="A529" t="inlineStr">
        <is>
          <t>L018</t>
        </is>
      </c>
      <c r="B529" s="6" t="n">
        <v>46070</v>
      </c>
      <c r="C529" t="inlineStr">
        <is>
          <t>EPA07</t>
        </is>
      </c>
      <c r="D529" t="n">
        <v>4</v>
      </c>
      <c r="E529" t="inlineStr">
        <is>
          <t>A001</t>
        </is>
      </c>
      <c r="F529" t="inlineStr">
        <is>
          <t>Faculty</t>
        </is>
      </c>
      <c r="G529" t="inlineStr">
        <is>
          <t>OR</t>
        </is>
      </c>
      <c r="H529" t="inlineStr">
        <is>
          <t>CaseB</t>
        </is>
      </c>
      <c r="I529" s="3" t="inlineStr">
        <is>
          <t>Good clinical reasoning with key findings identified.</t>
        </is>
      </c>
      <c r="J529" s="3" t="inlineStr">
        <is>
          <t>Document key times and decisions more clearly.</t>
        </is>
      </c>
      <c r="K529" t="n">
        <v>0</v>
      </c>
    </row>
    <row r="530">
      <c r="A530" t="inlineStr">
        <is>
          <t>L017</t>
        </is>
      </c>
      <c r="B530" s="6" t="n">
        <v>46068</v>
      </c>
      <c r="C530" t="inlineStr">
        <is>
          <t>EPA05</t>
        </is>
      </c>
      <c r="D530" t="n">
        <v>3</v>
      </c>
      <c r="E530" t="inlineStr">
        <is>
          <t>A005</t>
        </is>
      </c>
      <c r="F530" t="inlineStr">
        <is>
          <t>Faculty</t>
        </is>
      </c>
      <c r="G530" t="inlineStr">
        <is>
          <t>ICU</t>
        </is>
      </c>
      <c r="H530" t="inlineStr">
        <is>
          <t>CaseE</t>
        </is>
      </c>
      <c r="I530" s="3" t="inlineStr">
        <is>
          <t>Clear structure and communication.</t>
        </is>
      </c>
      <c r="J530" s="3" t="inlineStr">
        <is>
          <t>Increase efficiency while maintaining safety checks.</t>
        </is>
      </c>
      <c r="K530" t="n">
        <v>0</v>
      </c>
    </row>
    <row r="531">
      <c r="A531" t="inlineStr">
        <is>
          <t>L014</t>
        </is>
      </c>
      <c r="B531" s="6" t="n">
        <v>46070</v>
      </c>
      <c r="C531" t="inlineStr">
        <is>
          <t>EPA11</t>
        </is>
      </c>
      <c r="D531" t="n">
        <v>5</v>
      </c>
      <c r="E531" t="inlineStr">
        <is>
          <t>A015</t>
        </is>
      </c>
      <c r="F531" t="inlineStr">
        <is>
          <t>Faculty</t>
        </is>
      </c>
      <c r="G531" t="inlineStr">
        <is>
          <t>Ward</t>
        </is>
      </c>
      <c r="H531" t="inlineStr">
        <is>
          <t>CaseD</t>
        </is>
      </c>
      <c r="I531" s="3" t="inlineStr">
        <is>
          <t>Clear structure and communication.</t>
        </is>
      </c>
      <c r="J531" s="3" t="inlineStr">
        <is>
          <t>Increase efficiency while maintaining safety checks.</t>
        </is>
      </c>
      <c r="K531" t="n">
        <v>0</v>
      </c>
    </row>
    <row r="532">
      <c r="A532" t="inlineStr">
        <is>
          <t>L005</t>
        </is>
      </c>
      <c r="B532" s="6" t="n">
        <v>45912</v>
      </c>
      <c r="C532" t="inlineStr">
        <is>
          <t>EPA01</t>
        </is>
      </c>
      <c r="D532" t="n">
        <v>3</v>
      </c>
      <c r="E532" t="inlineStr">
        <is>
          <t>A001</t>
        </is>
      </c>
      <c r="F532" t="inlineStr">
        <is>
          <t>Faculty</t>
        </is>
      </c>
      <c r="G532" t="inlineStr">
        <is>
          <t>Sim</t>
        </is>
      </c>
      <c r="H532" t="inlineStr">
        <is>
          <t>CaseA</t>
        </is>
      </c>
      <c r="I532" s="3" t="inlineStr">
        <is>
          <t>Clear structure and communication.</t>
        </is>
      </c>
      <c r="J532" s="3" t="inlineStr">
        <is>
          <t>Increase efficiency while maintaining safety checks.</t>
        </is>
      </c>
      <c r="K532" t="n">
        <v>0</v>
      </c>
    </row>
    <row r="533">
      <c r="A533" t="inlineStr">
        <is>
          <t>L011</t>
        </is>
      </c>
      <c r="B533" s="6" t="n">
        <v>45977</v>
      </c>
      <c r="C533" t="inlineStr">
        <is>
          <t>EPA10</t>
        </is>
      </c>
      <c r="D533" t="n">
        <v>3</v>
      </c>
      <c r="E533" t="inlineStr">
        <is>
          <t>A015</t>
        </is>
      </c>
      <c r="F533" t="inlineStr">
        <is>
          <t>Faculty</t>
        </is>
      </c>
      <c r="G533" t="inlineStr">
        <is>
          <t>Ward</t>
        </is>
      </c>
      <c r="H533" t="inlineStr">
        <is>
          <t>CaseD</t>
        </is>
      </c>
      <c r="I533" s="3" t="inlineStr">
        <is>
          <t>Effective teamwork and closed-loop communication.</t>
        </is>
      </c>
      <c r="J533" s="3" t="inlineStr">
        <is>
          <t>Document key times and decisions more clearly.</t>
        </is>
      </c>
      <c r="K533" t="n">
        <v>0</v>
      </c>
    </row>
    <row r="534">
      <c r="A534" t="inlineStr">
        <is>
          <t>L024</t>
        </is>
      </c>
      <c r="B534" s="6" t="n">
        <v>45994</v>
      </c>
      <c r="C534" t="inlineStr">
        <is>
          <t>EPA04</t>
        </is>
      </c>
      <c r="D534" t="n">
        <v>4</v>
      </c>
      <c r="E534" t="inlineStr">
        <is>
          <t>A005</t>
        </is>
      </c>
      <c r="F534" t="inlineStr">
        <is>
          <t>Faculty</t>
        </is>
      </c>
      <c r="G534" t="inlineStr">
        <is>
          <t>OPD</t>
        </is>
      </c>
      <c r="H534" t="inlineStr">
        <is>
          <t>CaseF</t>
        </is>
      </c>
      <c r="I534" s="3" t="inlineStr">
        <is>
          <t>Clear structure and communication.</t>
        </is>
      </c>
      <c r="J534" s="3" t="inlineStr">
        <is>
          <t>Be more concise and state the plan earlier.</t>
        </is>
      </c>
      <c r="K534" t="n">
        <v>0</v>
      </c>
    </row>
    <row r="535">
      <c r="A535" t="inlineStr">
        <is>
          <t>L003</t>
        </is>
      </c>
      <c r="B535" s="6" t="n">
        <v>45993</v>
      </c>
      <c r="C535" t="inlineStr">
        <is>
          <t>EPA01</t>
        </is>
      </c>
      <c r="D535" t="n">
        <v>3</v>
      </c>
      <c r="E535" t="inlineStr">
        <is>
          <t>A015</t>
        </is>
      </c>
      <c r="F535" t="inlineStr">
        <is>
          <t>Faculty</t>
        </is>
      </c>
      <c r="G535" t="inlineStr">
        <is>
          <t>OPD</t>
        </is>
      </c>
      <c r="H535" t="inlineStr">
        <is>
          <t>CaseC</t>
        </is>
      </c>
      <c r="I535" s="3" t="inlineStr">
        <is>
          <t>Effective teamwork and closed-loop communication.</t>
        </is>
      </c>
      <c r="J535" s="3" t="inlineStr">
        <is>
          <t>Clarify escalation criteria and communicate proactively.</t>
        </is>
      </c>
      <c r="K535" t="n">
        <v>1</v>
      </c>
    </row>
    <row r="536">
      <c r="A536" t="inlineStr">
        <is>
          <t>L005</t>
        </is>
      </c>
      <c r="B536" s="6" t="n">
        <v>45963</v>
      </c>
      <c r="C536" t="inlineStr">
        <is>
          <t>EPA08</t>
        </is>
      </c>
      <c r="D536" t="n">
        <v>3</v>
      </c>
      <c r="E536" t="inlineStr">
        <is>
          <t>A014</t>
        </is>
      </c>
      <c r="F536" t="inlineStr">
        <is>
          <t>Faculty</t>
        </is>
      </c>
      <c r="G536" t="inlineStr">
        <is>
          <t>Sim</t>
        </is>
      </c>
      <c r="H536" t="inlineStr">
        <is>
          <t>CaseD</t>
        </is>
      </c>
      <c r="I536" s="3" t="n"/>
      <c r="J536" s="3" t="n"/>
      <c r="K536" t="n">
        <v>0</v>
      </c>
    </row>
    <row r="537">
      <c r="A537" t="inlineStr">
        <is>
          <t>L015</t>
        </is>
      </c>
      <c r="B537" s="6" t="n">
        <v>46041</v>
      </c>
      <c r="C537" t="inlineStr">
        <is>
          <t>EPA06</t>
        </is>
      </c>
      <c r="D537" t="n">
        <v>4</v>
      </c>
      <c r="E537" t="inlineStr">
        <is>
          <t>A013</t>
        </is>
      </c>
      <c r="F537" t="inlineStr">
        <is>
          <t>Nurse</t>
        </is>
      </c>
      <c r="G537" t="inlineStr">
        <is>
          <t>OPD</t>
        </is>
      </c>
      <c r="H537" t="inlineStr">
        <is>
          <t>CaseA</t>
        </is>
      </c>
      <c r="I537" s="3" t="inlineStr">
        <is>
          <t>Effective teamwork and closed-loop communication.</t>
        </is>
      </c>
      <c r="J537" s="3" t="inlineStr">
        <is>
          <t>Be more concise and state the plan earlier.</t>
        </is>
      </c>
      <c r="K537" t="n">
        <v>0</v>
      </c>
    </row>
    <row r="538">
      <c r="A538" t="inlineStr">
        <is>
          <t>L003</t>
        </is>
      </c>
      <c r="B538" s="6" t="n">
        <v>45995</v>
      </c>
      <c r="C538" t="inlineStr">
        <is>
          <t>EPA09</t>
        </is>
      </c>
      <c r="D538" t="n">
        <v>3</v>
      </c>
      <c r="E538" t="inlineStr">
        <is>
          <t>A002</t>
        </is>
      </c>
      <c r="F538" t="inlineStr">
        <is>
          <t>Faculty</t>
        </is>
      </c>
      <c r="G538" t="inlineStr">
        <is>
          <t>ICU</t>
        </is>
      </c>
      <c r="H538" t="inlineStr">
        <is>
          <t>CaseD</t>
        </is>
      </c>
      <c r="I538" s="3" t="inlineStr">
        <is>
          <t>Effective teamwork and closed-loop communication.</t>
        </is>
      </c>
      <c r="J538" s="3" t="inlineStr">
        <is>
          <t>Be more concise and state the plan earlier.</t>
        </is>
      </c>
      <c r="K538" t="n">
        <v>0</v>
      </c>
    </row>
    <row r="539">
      <c r="A539" t="inlineStr">
        <is>
          <t>L010</t>
        </is>
      </c>
      <c r="B539" s="6" t="n">
        <v>46001</v>
      </c>
      <c r="C539" t="inlineStr">
        <is>
          <t>EPA12</t>
        </is>
      </c>
      <c r="D539" t="n">
        <v>5</v>
      </c>
      <c r="E539" t="inlineStr">
        <is>
          <t>A010</t>
        </is>
      </c>
      <c r="F539" t="inlineStr">
        <is>
          <t>Faculty</t>
        </is>
      </c>
      <c r="G539" t="inlineStr">
        <is>
          <t>Sim</t>
        </is>
      </c>
      <c r="H539" t="inlineStr">
        <is>
          <t>CaseF</t>
        </is>
      </c>
      <c r="I539" s="3" t="n"/>
      <c r="J539" s="3" t="n"/>
      <c r="K539" t="n">
        <v>0</v>
      </c>
    </row>
    <row r="540">
      <c r="A540" t="inlineStr">
        <is>
          <t>L017</t>
        </is>
      </c>
      <c r="B540" s="6" t="n">
        <v>45980</v>
      </c>
      <c r="C540" t="inlineStr">
        <is>
          <t>EPA09</t>
        </is>
      </c>
      <c r="D540" t="n">
        <v>3</v>
      </c>
      <c r="E540" t="inlineStr">
        <is>
          <t>A010</t>
        </is>
      </c>
      <c r="F540" t="inlineStr">
        <is>
          <t>Faculty</t>
        </is>
      </c>
      <c r="G540" t="inlineStr">
        <is>
          <t>ED</t>
        </is>
      </c>
      <c r="H540" t="inlineStr">
        <is>
          <t>CaseF</t>
        </is>
      </c>
      <c r="I540" s="3" t="n"/>
      <c r="J540" s="3" t="n"/>
      <c r="K540" t="n">
        <v>0</v>
      </c>
    </row>
    <row r="541">
      <c r="A541" t="inlineStr">
        <is>
          <t>L013</t>
        </is>
      </c>
      <c r="B541" s="6" t="n">
        <v>45948</v>
      </c>
      <c r="C541" t="inlineStr">
        <is>
          <t>EPA09</t>
        </is>
      </c>
      <c r="D541" t="n">
        <v>5</v>
      </c>
      <c r="E541" t="inlineStr">
        <is>
          <t>A007</t>
        </is>
      </c>
      <c r="F541" t="inlineStr">
        <is>
          <t>Faculty</t>
        </is>
      </c>
      <c r="G541" t="inlineStr">
        <is>
          <t>Sim</t>
        </is>
      </c>
      <c r="H541" t="inlineStr">
        <is>
          <t>CaseB</t>
        </is>
      </c>
      <c r="I541" s="3" t="n"/>
      <c r="J541" s="3" t="n"/>
      <c r="K541" t="n">
        <v>0</v>
      </c>
    </row>
    <row r="542">
      <c r="A542" t="inlineStr">
        <is>
          <t>L016</t>
        </is>
      </c>
      <c r="B542" s="6" t="n">
        <v>45960</v>
      </c>
      <c r="C542" t="inlineStr">
        <is>
          <t>EPA07</t>
        </is>
      </c>
      <c r="D542" t="n">
        <v>3</v>
      </c>
      <c r="E542" t="inlineStr">
        <is>
          <t>A004</t>
        </is>
      </c>
      <c r="F542" t="inlineStr">
        <is>
          <t>Faculty</t>
        </is>
      </c>
      <c r="G542" t="inlineStr">
        <is>
          <t>ED</t>
        </is>
      </c>
      <c r="H542" t="inlineStr">
        <is>
          <t>CaseE</t>
        </is>
      </c>
      <c r="I542" s="3" t="inlineStr">
        <is>
          <t>Appropriate prioritization and plan articulation.</t>
        </is>
      </c>
      <c r="J542" s="3" t="inlineStr">
        <is>
          <t>Broaden the differential diagnosis and justify choices.</t>
        </is>
      </c>
      <c r="K542" t="n">
        <v>0</v>
      </c>
    </row>
    <row r="543">
      <c r="A543" t="inlineStr">
        <is>
          <t>L016</t>
        </is>
      </c>
      <c r="B543" s="6" t="n">
        <v>45913</v>
      </c>
      <c r="C543" t="inlineStr">
        <is>
          <t>EPA07</t>
        </is>
      </c>
      <c r="D543" t="n">
        <v>4</v>
      </c>
      <c r="E543" t="inlineStr">
        <is>
          <t>A011</t>
        </is>
      </c>
      <c r="F543" t="inlineStr">
        <is>
          <t>Nurse</t>
        </is>
      </c>
      <c r="G543" t="inlineStr">
        <is>
          <t>OPD</t>
        </is>
      </c>
      <c r="H543" t="inlineStr">
        <is>
          <t>CaseD</t>
        </is>
      </c>
      <c r="I543" s="3" t="n"/>
      <c r="J543" s="3" t="n"/>
      <c r="K543" t="n">
        <v>0</v>
      </c>
    </row>
    <row r="544">
      <c r="A544" t="inlineStr">
        <is>
          <t>L012</t>
        </is>
      </c>
      <c r="B544" s="6" t="n">
        <v>45967</v>
      </c>
      <c r="C544" t="inlineStr">
        <is>
          <t>EPA05</t>
        </is>
      </c>
      <c r="D544" t="n">
        <v>5</v>
      </c>
      <c r="E544" t="inlineStr">
        <is>
          <t>A004</t>
        </is>
      </c>
      <c r="F544" t="inlineStr">
        <is>
          <t>Faculty</t>
        </is>
      </c>
      <c r="G544" t="inlineStr">
        <is>
          <t>Ward</t>
        </is>
      </c>
      <c r="H544" t="inlineStr">
        <is>
          <t>CaseA</t>
        </is>
      </c>
      <c r="I544" s="3" t="inlineStr">
        <is>
          <t>Appropriate prioritization and plan articulation.</t>
        </is>
      </c>
      <c r="J544" s="3" t="inlineStr">
        <is>
          <t>Broaden the differential diagnosis and justify choices.</t>
        </is>
      </c>
      <c r="K544" t="n">
        <v>0</v>
      </c>
    </row>
    <row r="545">
      <c r="A545" t="inlineStr">
        <is>
          <t>L007</t>
        </is>
      </c>
      <c r="B545" s="6" t="n">
        <v>46025</v>
      </c>
      <c r="C545" t="inlineStr">
        <is>
          <t>EPA02</t>
        </is>
      </c>
      <c r="D545" t="n">
        <v>4</v>
      </c>
      <c r="E545" t="inlineStr">
        <is>
          <t>A011</t>
        </is>
      </c>
      <c r="F545" t="inlineStr">
        <is>
          <t>Nurse</t>
        </is>
      </c>
      <c r="G545" t="inlineStr">
        <is>
          <t>ICU</t>
        </is>
      </c>
      <c r="H545" t="inlineStr">
        <is>
          <t>CaseF</t>
        </is>
      </c>
      <c r="I545" s="3" t="n"/>
      <c r="J545" s="3" t="n"/>
      <c r="K545" t="n">
        <v>0</v>
      </c>
    </row>
    <row r="546">
      <c r="A546" t="inlineStr">
        <is>
          <t>L010</t>
        </is>
      </c>
      <c r="B546" s="6" t="n">
        <v>45995</v>
      </c>
      <c r="C546" t="inlineStr">
        <is>
          <t>EPA09</t>
        </is>
      </c>
      <c r="D546" t="n">
        <v>4</v>
      </c>
      <c r="E546" t="inlineStr">
        <is>
          <t>A015</t>
        </is>
      </c>
      <c r="F546" t="inlineStr">
        <is>
          <t>Faculty</t>
        </is>
      </c>
      <c r="G546" t="inlineStr">
        <is>
          <t>Sim</t>
        </is>
      </c>
      <c r="H546" t="inlineStr">
        <is>
          <t>CaseG</t>
        </is>
      </c>
      <c r="I546" s="3" t="n"/>
      <c r="J546" s="3" t="n"/>
      <c r="K546" t="n">
        <v>0</v>
      </c>
    </row>
    <row r="547">
      <c r="A547" t="inlineStr">
        <is>
          <t>L021</t>
        </is>
      </c>
      <c r="B547" s="6" t="n">
        <v>45959</v>
      </c>
      <c r="C547" t="inlineStr">
        <is>
          <t>EPA09</t>
        </is>
      </c>
      <c r="D547" t="n">
        <v>3</v>
      </c>
      <c r="E547" t="inlineStr">
        <is>
          <t>A012</t>
        </is>
      </c>
      <c r="F547" t="inlineStr">
        <is>
          <t>Faculty</t>
        </is>
      </c>
      <c r="G547" t="inlineStr">
        <is>
          <t>ED</t>
        </is>
      </c>
      <c r="H547" t="inlineStr">
        <is>
          <t>CaseC</t>
        </is>
      </c>
      <c r="I547" s="3" t="inlineStr">
        <is>
          <t>Appropriate prioritization and plan articulation.</t>
        </is>
      </c>
      <c r="J547" s="3" t="inlineStr">
        <is>
          <t>Document key times and decisions more clearly.</t>
        </is>
      </c>
      <c r="K547" t="n">
        <v>0</v>
      </c>
    </row>
    <row r="548">
      <c r="A548" t="inlineStr">
        <is>
          <t>L008</t>
        </is>
      </c>
      <c r="B548" s="6" t="n">
        <v>46028</v>
      </c>
      <c r="C548" t="inlineStr">
        <is>
          <t>EPA10</t>
        </is>
      </c>
      <c r="D548" t="n">
        <v>5</v>
      </c>
      <c r="E548" t="inlineStr">
        <is>
          <t>A005</t>
        </is>
      </c>
      <c r="F548" t="inlineStr">
        <is>
          <t>Faculty</t>
        </is>
      </c>
      <c r="G548" t="inlineStr">
        <is>
          <t>Ward</t>
        </is>
      </c>
      <c r="H548" t="inlineStr">
        <is>
          <t>CaseD</t>
        </is>
      </c>
      <c r="I548" s="3" t="n"/>
      <c r="J548" s="3" t="n"/>
      <c r="K548" t="n">
        <v>0</v>
      </c>
    </row>
    <row r="549">
      <c r="A549" t="inlineStr">
        <is>
          <t>L024</t>
        </is>
      </c>
      <c r="B549" s="6" t="n">
        <v>45905</v>
      </c>
      <c r="C549" t="inlineStr">
        <is>
          <t>EPA06</t>
        </is>
      </c>
      <c r="D549" t="n">
        <v>3</v>
      </c>
      <c r="E549" t="inlineStr">
        <is>
          <t>A006</t>
        </is>
      </c>
      <c r="F549" t="inlineStr">
        <is>
          <t>Faculty</t>
        </is>
      </c>
      <c r="G549" t="inlineStr">
        <is>
          <t>Sim</t>
        </is>
      </c>
      <c r="H549" t="inlineStr">
        <is>
          <t>CaseC</t>
        </is>
      </c>
      <c r="I549" s="3" t="inlineStr">
        <is>
          <t>Appropriate prioritization and plan articulation.</t>
        </is>
      </c>
      <c r="J549" s="3" t="inlineStr">
        <is>
          <t>Clarify escalation criteria and communicate proactively.</t>
        </is>
      </c>
      <c r="K549" t="n">
        <v>0</v>
      </c>
    </row>
    <row r="550">
      <c r="A550" t="inlineStr">
        <is>
          <t>L019</t>
        </is>
      </c>
      <c r="B550" s="6" t="n">
        <v>45919</v>
      </c>
      <c r="C550" t="inlineStr">
        <is>
          <t>EPA11</t>
        </is>
      </c>
      <c r="D550" t="n">
        <v>3</v>
      </c>
      <c r="E550" t="inlineStr">
        <is>
          <t>A010</t>
        </is>
      </c>
      <c r="F550" t="inlineStr">
        <is>
          <t>Faculty</t>
        </is>
      </c>
      <c r="G550" t="inlineStr">
        <is>
          <t>OR</t>
        </is>
      </c>
      <c r="H550" t="inlineStr">
        <is>
          <t>CaseA</t>
        </is>
      </c>
      <c r="I550" s="3" t="n"/>
      <c r="J550" s="3" t="n"/>
      <c r="K550" t="n">
        <v>0</v>
      </c>
    </row>
    <row r="551">
      <c r="A551" t="inlineStr">
        <is>
          <t>L006</t>
        </is>
      </c>
      <c r="B551" s="6" t="n">
        <v>45923</v>
      </c>
      <c r="C551" t="inlineStr">
        <is>
          <t>EPA01</t>
        </is>
      </c>
      <c r="D551" t="n">
        <v>4</v>
      </c>
      <c r="E551" t="inlineStr">
        <is>
          <t>A011</t>
        </is>
      </c>
      <c r="F551" t="inlineStr">
        <is>
          <t>Nurse</t>
        </is>
      </c>
      <c r="G551" t="inlineStr">
        <is>
          <t>Ward</t>
        </is>
      </c>
      <c r="H551" t="inlineStr">
        <is>
          <t>CaseF</t>
        </is>
      </c>
      <c r="I551" s="3" t="inlineStr">
        <is>
          <t>Appropriate prioritization and plan articulation.</t>
        </is>
      </c>
      <c r="J551" s="3" t="inlineStr">
        <is>
          <t>Broaden the differential diagnosis and justify choices.</t>
        </is>
      </c>
      <c r="K551" t="n">
        <v>0</v>
      </c>
    </row>
    <row r="552">
      <c r="A552" t="inlineStr">
        <is>
          <t>L025</t>
        </is>
      </c>
      <c r="B552" s="6" t="n">
        <v>46074</v>
      </c>
      <c r="C552" t="inlineStr">
        <is>
          <t>EPA03</t>
        </is>
      </c>
      <c r="D552" t="n">
        <v>4</v>
      </c>
      <c r="E552" t="inlineStr">
        <is>
          <t>A012</t>
        </is>
      </c>
      <c r="F552" t="inlineStr">
        <is>
          <t>Faculty</t>
        </is>
      </c>
      <c r="G552" t="inlineStr">
        <is>
          <t>Ward</t>
        </is>
      </c>
      <c r="H552" t="inlineStr">
        <is>
          <t>CaseD</t>
        </is>
      </c>
      <c r="I552" s="3" t="inlineStr">
        <is>
          <t>Appropriate prioritization and plan articulation.</t>
        </is>
      </c>
      <c r="J552" s="3" t="inlineStr">
        <is>
          <t>Be more concise and state the plan earlier.</t>
        </is>
      </c>
      <c r="K552" t="n">
        <v>0</v>
      </c>
    </row>
    <row r="553">
      <c r="A553" t="inlineStr">
        <is>
          <t>L020</t>
        </is>
      </c>
      <c r="B553" s="6" t="n">
        <v>46066</v>
      </c>
      <c r="C553" t="inlineStr">
        <is>
          <t>EPA10</t>
        </is>
      </c>
      <c r="D553" t="n">
        <v>3</v>
      </c>
      <c r="E553" t="inlineStr">
        <is>
          <t>A010</t>
        </is>
      </c>
      <c r="F553" t="inlineStr">
        <is>
          <t>Faculty</t>
        </is>
      </c>
      <c r="G553" t="inlineStr">
        <is>
          <t>Ward</t>
        </is>
      </c>
      <c r="H553" t="inlineStr">
        <is>
          <t>CaseF</t>
        </is>
      </c>
      <c r="I553" s="3" t="inlineStr">
        <is>
          <t>Professional and patient-centered approach.</t>
        </is>
      </c>
      <c r="J553" s="3" t="inlineStr">
        <is>
          <t>Broaden the differential diagnosis and justify choices.</t>
        </is>
      </c>
      <c r="K553" t="n">
        <v>0</v>
      </c>
    </row>
    <row r="554">
      <c r="A554" t="inlineStr">
        <is>
          <t>L014</t>
        </is>
      </c>
      <c r="B554" s="6" t="n">
        <v>46013</v>
      </c>
      <c r="C554" t="inlineStr">
        <is>
          <t>EPA12</t>
        </is>
      </c>
      <c r="D554" t="n">
        <v>3</v>
      </c>
      <c r="E554" t="inlineStr">
        <is>
          <t>A011</t>
        </is>
      </c>
      <c r="F554" t="inlineStr">
        <is>
          <t>Nurse</t>
        </is>
      </c>
      <c r="G554" t="inlineStr">
        <is>
          <t>ED</t>
        </is>
      </c>
      <c r="H554" t="inlineStr">
        <is>
          <t>CaseG</t>
        </is>
      </c>
      <c r="I554" s="3" t="n"/>
      <c r="J554" s="3" t="n"/>
      <c r="K554" t="n">
        <v>0</v>
      </c>
    </row>
    <row r="555">
      <c r="A555" t="inlineStr">
        <is>
          <t>L018</t>
        </is>
      </c>
      <c r="B555" s="6" t="n">
        <v>45926</v>
      </c>
      <c r="C555" t="inlineStr">
        <is>
          <t>EPA06</t>
        </is>
      </c>
      <c r="D555" t="n">
        <v>4</v>
      </c>
      <c r="E555" t="inlineStr">
        <is>
          <t>A011</t>
        </is>
      </c>
      <c r="F555" t="inlineStr">
        <is>
          <t>Nurse</t>
        </is>
      </c>
      <c r="G555" t="inlineStr">
        <is>
          <t>OR</t>
        </is>
      </c>
      <c r="H555" t="inlineStr">
        <is>
          <t>CaseG</t>
        </is>
      </c>
      <c r="I555" s="3" t="n"/>
      <c r="J555" s="3" t="n"/>
      <c r="K555" t="n">
        <v>0</v>
      </c>
    </row>
    <row r="556">
      <c r="A556" t="inlineStr">
        <is>
          <t>L004</t>
        </is>
      </c>
      <c r="B556" s="6" t="n">
        <v>45954</v>
      </c>
      <c r="C556" t="inlineStr">
        <is>
          <t>EPA04</t>
        </is>
      </c>
      <c r="D556" t="n">
        <v>5</v>
      </c>
      <c r="E556" t="inlineStr">
        <is>
          <t>A002</t>
        </is>
      </c>
      <c r="F556" t="inlineStr">
        <is>
          <t>Faculty</t>
        </is>
      </c>
      <c r="G556" t="inlineStr">
        <is>
          <t>ICU</t>
        </is>
      </c>
      <c r="H556" t="inlineStr">
        <is>
          <t>CaseE</t>
        </is>
      </c>
      <c r="I556" s="3" t="inlineStr">
        <is>
          <t>Professional and patient-centered approach.</t>
        </is>
      </c>
      <c r="J556" s="3" t="inlineStr">
        <is>
          <t>Be more concise and state the plan earlier.</t>
        </is>
      </c>
      <c r="K556" t="n">
        <v>0</v>
      </c>
    </row>
    <row r="557">
      <c r="A557" t="inlineStr">
        <is>
          <t>L021</t>
        </is>
      </c>
      <c r="B557" s="6" t="n">
        <v>45953</v>
      </c>
      <c r="C557" t="inlineStr">
        <is>
          <t>EPA06</t>
        </is>
      </c>
      <c r="D557" t="n">
        <v>1</v>
      </c>
      <c r="E557" t="inlineStr">
        <is>
          <t>A014</t>
        </is>
      </c>
      <c r="F557" t="inlineStr">
        <is>
          <t>Faculty</t>
        </is>
      </c>
      <c r="G557" t="inlineStr">
        <is>
          <t>Sim</t>
        </is>
      </c>
      <c r="H557" t="inlineStr">
        <is>
          <t>CaseA</t>
        </is>
      </c>
      <c r="I557" s="3" t="inlineStr">
        <is>
          <t>Appropriate prioritization and plan articulation.</t>
        </is>
      </c>
      <c r="J557" s="3" t="inlineStr">
        <is>
          <t>Be more concise and state the plan earlier.</t>
        </is>
      </c>
      <c r="K557" t="n">
        <v>0</v>
      </c>
    </row>
    <row r="558">
      <c r="A558" t="inlineStr">
        <is>
          <t>L024</t>
        </is>
      </c>
      <c r="B558" s="6" t="n">
        <v>46042</v>
      </c>
      <c r="C558" t="inlineStr">
        <is>
          <t>EPA08</t>
        </is>
      </c>
      <c r="D558" t="n">
        <v>4</v>
      </c>
      <c r="E558" t="inlineStr">
        <is>
          <t>A012</t>
        </is>
      </c>
      <c r="F558" t="inlineStr">
        <is>
          <t>Faculty</t>
        </is>
      </c>
      <c r="G558" t="inlineStr">
        <is>
          <t>OR</t>
        </is>
      </c>
      <c r="H558" t="inlineStr">
        <is>
          <t>CaseE</t>
        </is>
      </c>
      <c r="I558" s="3" t="inlineStr">
        <is>
          <t>Clear structure and communication.</t>
        </is>
      </c>
      <c r="J558" s="3" t="inlineStr">
        <is>
          <t>Increase efficiency while maintaining safety checks.</t>
        </is>
      </c>
      <c r="K558" t="n">
        <v>0</v>
      </c>
    </row>
    <row r="559">
      <c r="A559" t="inlineStr">
        <is>
          <t>L018</t>
        </is>
      </c>
      <c r="B559" s="6" t="n">
        <v>46056</v>
      </c>
      <c r="C559" t="inlineStr">
        <is>
          <t>EPA10</t>
        </is>
      </c>
      <c r="D559" t="n">
        <v>4</v>
      </c>
      <c r="E559" t="inlineStr">
        <is>
          <t>A015</t>
        </is>
      </c>
      <c r="F559" t="inlineStr">
        <is>
          <t>Faculty</t>
        </is>
      </c>
      <c r="G559" t="inlineStr">
        <is>
          <t>Ward</t>
        </is>
      </c>
      <c r="H559" t="inlineStr">
        <is>
          <t>CaseA</t>
        </is>
      </c>
      <c r="I559" s="3" t="inlineStr">
        <is>
          <t>Good clinical reasoning with key findings identified.</t>
        </is>
      </c>
      <c r="J559" s="3" t="inlineStr">
        <is>
          <t>Be more concise and state the plan earlier.</t>
        </is>
      </c>
      <c r="K559" t="n">
        <v>0</v>
      </c>
    </row>
    <row r="560">
      <c r="A560" t="inlineStr">
        <is>
          <t>L013</t>
        </is>
      </c>
      <c r="B560" s="6" t="n">
        <v>46033</v>
      </c>
      <c r="C560" t="inlineStr">
        <is>
          <t>EPA02</t>
        </is>
      </c>
      <c r="D560" t="n">
        <v>5</v>
      </c>
      <c r="E560" t="inlineStr">
        <is>
          <t>A011</t>
        </is>
      </c>
      <c r="F560" t="inlineStr">
        <is>
          <t>Nurse</t>
        </is>
      </c>
      <c r="G560" t="inlineStr">
        <is>
          <t>Sim</t>
        </is>
      </c>
      <c r="H560" t="inlineStr">
        <is>
          <t>CaseE</t>
        </is>
      </c>
      <c r="I560" s="3" t="inlineStr">
        <is>
          <t>Appropriate prioritization and plan articulation.</t>
        </is>
      </c>
      <c r="J560" s="3" t="inlineStr">
        <is>
          <t>Clarify escalation criteria and communicate proactively.</t>
        </is>
      </c>
      <c r="K560" t="n">
        <v>0</v>
      </c>
    </row>
    <row r="561">
      <c r="A561" t="inlineStr">
        <is>
          <t>L002</t>
        </is>
      </c>
      <c r="B561" s="6" t="n">
        <v>45909</v>
      </c>
      <c r="C561" t="inlineStr">
        <is>
          <t>EPA03</t>
        </is>
      </c>
      <c r="D561" t="n">
        <v>4</v>
      </c>
      <c r="E561" t="inlineStr">
        <is>
          <t>A006</t>
        </is>
      </c>
      <c r="F561" t="inlineStr">
        <is>
          <t>Faculty</t>
        </is>
      </c>
      <c r="G561" t="inlineStr">
        <is>
          <t>Sim</t>
        </is>
      </c>
      <c r="H561" t="inlineStr">
        <is>
          <t>CaseE</t>
        </is>
      </c>
      <c r="I561" s="3" t="n"/>
      <c r="J561" s="3" t="n"/>
      <c r="K561" t="n">
        <v>0</v>
      </c>
    </row>
    <row r="562">
      <c r="A562" t="inlineStr">
        <is>
          <t>L004</t>
        </is>
      </c>
      <c r="B562" s="6" t="n">
        <v>46015</v>
      </c>
      <c r="C562" t="inlineStr">
        <is>
          <t>EPA12</t>
        </is>
      </c>
      <c r="D562" t="n">
        <v>4</v>
      </c>
      <c r="E562" t="inlineStr">
        <is>
          <t>A014</t>
        </is>
      </c>
      <c r="F562" t="inlineStr">
        <is>
          <t>Faculty</t>
        </is>
      </c>
      <c r="G562" t="inlineStr">
        <is>
          <t>ED</t>
        </is>
      </c>
      <c r="H562" t="inlineStr">
        <is>
          <t>CaseA</t>
        </is>
      </c>
      <c r="I562" s="3" t="inlineStr">
        <is>
          <t>Good clinical reasoning with key findings identified.</t>
        </is>
      </c>
      <c r="J562" s="3" t="n"/>
      <c r="K562" t="n">
        <v>0</v>
      </c>
    </row>
    <row r="563">
      <c r="A563" t="inlineStr">
        <is>
          <t>L014</t>
        </is>
      </c>
      <c r="B563" s="6" t="n">
        <v>45895</v>
      </c>
      <c r="C563" t="inlineStr">
        <is>
          <t>EPA06</t>
        </is>
      </c>
      <c r="D563" t="n">
        <v>3</v>
      </c>
      <c r="E563" t="inlineStr">
        <is>
          <t>A002</t>
        </is>
      </c>
      <c r="F563" t="inlineStr">
        <is>
          <t>Faculty</t>
        </is>
      </c>
      <c r="G563" t="inlineStr">
        <is>
          <t>OR</t>
        </is>
      </c>
      <c r="H563" t="inlineStr">
        <is>
          <t>CaseD</t>
        </is>
      </c>
      <c r="I563" s="3" t="n"/>
      <c r="J563" s="3" t="n"/>
      <c r="K563" t="n">
        <v>0</v>
      </c>
    </row>
    <row r="564">
      <c r="A564" t="inlineStr">
        <is>
          <t>L014</t>
        </is>
      </c>
      <c r="B564" s="6" t="n">
        <v>45938</v>
      </c>
      <c r="C564" t="inlineStr">
        <is>
          <t>EPA08</t>
        </is>
      </c>
      <c r="D564" t="n">
        <v>4</v>
      </c>
      <c r="E564" t="inlineStr">
        <is>
          <t>A013</t>
        </is>
      </c>
      <c r="F564" t="inlineStr">
        <is>
          <t>Nurse</t>
        </is>
      </c>
      <c r="G564" t="inlineStr">
        <is>
          <t>OR</t>
        </is>
      </c>
      <c r="H564" t="inlineStr">
        <is>
          <t>CaseG</t>
        </is>
      </c>
      <c r="I564" s="3" t="inlineStr">
        <is>
          <t>Professional and patient-centered approach.</t>
        </is>
      </c>
      <c r="J564" s="3" t="inlineStr">
        <is>
          <t>Be more concise and state the plan earlier.</t>
        </is>
      </c>
      <c r="K564" t="n">
        <v>0</v>
      </c>
    </row>
    <row r="565">
      <c r="A565" t="inlineStr">
        <is>
          <t>L002</t>
        </is>
      </c>
      <c r="B565" s="6" t="n">
        <v>46057</v>
      </c>
      <c r="C565" t="inlineStr">
        <is>
          <t>EPA04</t>
        </is>
      </c>
      <c r="D565" t="n">
        <v>4</v>
      </c>
      <c r="E565" t="inlineStr">
        <is>
          <t>A013</t>
        </is>
      </c>
      <c r="F565" t="inlineStr">
        <is>
          <t>Nurse</t>
        </is>
      </c>
      <c r="G565" t="inlineStr">
        <is>
          <t>OR</t>
        </is>
      </c>
      <c r="H565" t="inlineStr">
        <is>
          <t>CaseF</t>
        </is>
      </c>
      <c r="I565" s="3" t="n"/>
      <c r="J565" s="3" t="n"/>
      <c r="K565" t="n">
        <v>0</v>
      </c>
    </row>
    <row r="566">
      <c r="A566" t="inlineStr">
        <is>
          <t>L012</t>
        </is>
      </c>
      <c r="B566" s="6" t="n">
        <v>46062</v>
      </c>
      <c r="C566" t="inlineStr">
        <is>
          <t>EPA12</t>
        </is>
      </c>
      <c r="D566" t="n">
        <v>4</v>
      </c>
      <c r="E566" t="inlineStr">
        <is>
          <t>A014</t>
        </is>
      </c>
      <c r="F566" t="inlineStr">
        <is>
          <t>Faculty</t>
        </is>
      </c>
      <c r="G566" t="inlineStr">
        <is>
          <t>Ward</t>
        </is>
      </c>
      <c r="H566" t="inlineStr">
        <is>
          <t>CaseD</t>
        </is>
      </c>
      <c r="I566" s="3" t="inlineStr">
        <is>
          <t>Appropriate prioritization and plan articulation.</t>
        </is>
      </c>
      <c r="J566" s="3" t="inlineStr">
        <is>
          <t>Increase efficiency while maintaining safety checks.</t>
        </is>
      </c>
      <c r="K566" t="n">
        <v>0</v>
      </c>
    </row>
    <row r="567">
      <c r="A567" t="inlineStr">
        <is>
          <t>L010</t>
        </is>
      </c>
      <c r="B567" s="6" t="n">
        <v>45998</v>
      </c>
      <c r="C567" t="inlineStr">
        <is>
          <t>EPA12</t>
        </is>
      </c>
      <c r="D567" t="n">
        <v>5</v>
      </c>
      <c r="E567" t="inlineStr">
        <is>
          <t>A012</t>
        </is>
      </c>
      <c r="F567" t="inlineStr">
        <is>
          <t>Faculty</t>
        </is>
      </c>
      <c r="G567" t="inlineStr">
        <is>
          <t>ICU</t>
        </is>
      </c>
      <c r="H567" t="inlineStr">
        <is>
          <t>CaseG</t>
        </is>
      </c>
      <c r="I567" s="3" t="n"/>
      <c r="J567" s="3" t="n"/>
      <c r="K567" t="n">
        <v>0</v>
      </c>
    </row>
    <row r="568">
      <c r="A568" t="inlineStr">
        <is>
          <t>L006</t>
        </is>
      </c>
      <c r="B568" s="6" t="n">
        <v>45986</v>
      </c>
      <c r="C568" t="inlineStr">
        <is>
          <t>EPA11</t>
        </is>
      </c>
      <c r="D568" t="n">
        <v>3</v>
      </c>
      <c r="E568" t="inlineStr">
        <is>
          <t>A004</t>
        </is>
      </c>
      <c r="F568" t="inlineStr">
        <is>
          <t>Faculty</t>
        </is>
      </c>
      <c r="G568" t="inlineStr">
        <is>
          <t>Ward</t>
        </is>
      </c>
      <c r="H568" t="inlineStr">
        <is>
          <t>CaseD</t>
        </is>
      </c>
      <c r="I568" s="3" t="n"/>
      <c r="J568" s="3" t="n"/>
      <c r="K568" t="n">
        <v>0</v>
      </c>
    </row>
    <row r="569">
      <c r="A569" t="inlineStr">
        <is>
          <t>L015</t>
        </is>
      </c>
      <c r="B569" s="6" t="n">
        <v>45979</v>
      </c>
      <c r="C569" t="inlineStr">
        <is>
          <t>EPA09</t>
        </is>
      </c>
      <c r="D569" t="n">
        <v>4</v>
      </c>
      <c r="E569" t="inlineStr">
        <is>
          <t>A001</t>
        </is>
      </c>
      <c r="F569" t="inlineStr">
        <is>
          <t>Faculty</t>
        </is>
      </c>
      <c r="G569" t="inlineStr">
        <is>
          <t>Sim</t>
        </is>
      </c>
      <c r="H569" t="inlineStr">
        <is>
          <t>CaseB</t>
        </is>
      </c>
      <c r="I569" s="3" t="inlineStr">
        <is>
          <t>Clear structure and communication.</t>
        </is>
      </c>
      <c r="J569" s="3" t="inlineStr">
        <is>
          <t>Be more concise and state the plan earlier.</t>
        </is>
      </c>
      <c r="K569" t="n">
        <v>0</v>
      </c>
    </row>
    <row r="570">
      <c r="A570" t="inlineStr">
        <is>
          <t>L009</t>
        </is>
      </c>
      <c r="B570" s="6" t="n">
        <v>45913</v>
      </c>
      <c r="C570" t="inlineStr">
        <is>
          <t>EPA08</t>
        </is>
      </c>
      <c r="D570" t="n">
        <v>4</v>
      </c>
      <c r="E570" t="inlineStr">
        <is>
          <t>A014</t>
        </is>
      </c>
      <c r="F570" t="inlineStr">
        <is>
          <t>Faculty</t>
        </is>
      </c>
      <c r="G570" t="inlineStr">
        <is>
          <t>ED</t>
        </is>
      </c>
      <c r="H570" t="inlineStr">
        <is>
          <t>CaseE</t>
        </is>
      </c>
      <c r="I570" s="3" t="inlineStr">
        <is>
          <t>Professional and patient-centered approach.</t>
        </is>
      </c>
      <c r="J570" s="3" t="inlineStr">
        <is>
          <t>Clarify escalation criteria and communicate proactively.</t>
        </is>
      </c>
      <c r="K570" t="n">
        <v>0</v>
      </c>
    </row>
    <row r="571">
      <c r="A571" t="inlineStr">
        <is>
          <t>L020</t>
        </is>
      </c>
      <c r="B571" s="6" t="n">
        <v>46027</v>
      </c>
      <c r="C571" t="inlineStr">
        <is>
          <t>EPA04</t>
        </is>
      </c>
      <c r="D571" t="n">
        <v>3</v>
      </c>
      <c r="E571" t="inlineStr">
        <is>
          <t>A004</t>
        </is>
      </c>
      <c r="F571" t="inlineStr">
        <is>
          <t>Faculty</t>
        </is>
      </c>
      <c r="G571" t="inlineStr">
        <is>
          <t>ICU</t>
        </is>
      </c>
      <c r="H571" t="inlineStr">
        <is>
          <t>CaseG</t>
        </is>
      </c>
      <c r="I571" s="3" t="n"/>
      <c r="J571" s="3" t="n"/>
      <c r="K571" t="n">
        <v>0</v>
      </c>
    </row>
    <row r="572">
      <c r="A572" t="inlineStr">
        <is>
          <t>L023</t>
        </is>
      </c>
      <c r="B572" s="6" t="n">
        <v>45961</v>
      </c>
      <c r="C572" t="inlineStr">
        <is>
          <t>EPA07</t>
        </is>
      </c>
      <c r="D572" t="n">
        <v>4</v>
      </c>
      <c r="E572" t="inlineStr">
        <is>
          <t>A008</t>
        </is>
      </c>
      <c r="F572" t="inlineStr">
        <is>
          <t>AlliedHealth</t>
        </is>
      </c>
      <c r="G572" t="inlineStr">
        <is>
          <t>ED</t>
        </is>
      </c>
      <c r="H572" t="inlineStr">
        <is>
          <t>CaseD</t>
        </is>
      </c>
      <c r="I572" s="3" t="inlineStr">
        <is>
          <t>Professional and patient-centered approach.</t>
        </is>
      </c>
      <c r="J572" s="3" t="inlineStr">
        <is>
          <t>Clarify escalation criteria and communicate proactively.</t>
        </is>
      </c>
      <c r="K572" t="n">
        <v>0</v>
      </c>
    </row>
    <row r="573">
      <c r="A573" t="inlineStr">
        <is>
          <t>L004</t>
        </is>
      </c>
      <c r="B573" s="6" t="n">
        <v>45975</v>
      </c>
      <c r="C573" t="inlineStr">
        <is>
          <t>EPA10</t>
        </is>
      </c>
      <c r="D573" t="n">
        <v>4</v>
      </c>
      <c r="E573" t="inlineStr">
        <is>
          <t>A012</t>
        </is>
      </c>
      <c r="F573" t="inlineStr">
        <is>
          <t>Faculty</t>
        </is>
      </c>
      <c r="G573" t="inlineStr">
        <is>
          <t>ICU</t>
        </is>
      </c>
      <c r="H573" t="inlineStr">
        <is>
          <t>CaseE</t>
        </is>
      </c>
      <c r="I573" s="3" t="inlineStr">
        <is>
          <t>Effective teamwork and closed-loop communication.</t>
        </is>
      </c>
      <c r="J573" s="3" t="n"/>
      <c r="K573" t="n">
        <v>0</v>
      </c>
    </row>
    <row r="574">
      <c r="A574" t="inlineStr">
        <is>
          <t>L025</t>
        </is>
      </c>
      <c r="B574" s="6" t="n">
        <v>45997</v>
      </c>
      <c r="C574" t="inlineStr">
        <is>
          <t>EPA09</t>
        </is>
      </c>
      <c r="D574" t="n">
        <v>5</v>
      </c>
      <c r="E574" t="inlineStr">
        <is>
          <t>A009</t>
        </is>
      </c>
      <c r="F574" t="inlineStr">
        <is>
          <t>AlliedHealth</t>
        </is>
      </c>
      <c r="G574" t="inlineStr">
        <is>
          <t>Sim</t>
        </is>
      </c>
      <c r="H574" t="inlineStr">
        <is>
          <t>CaseA</t>
        </is>
      </c>
      <c r="I574" s="3" t="inlineStr">
        <is>
          <t>Professional and patient-centered approach.</t>
        </is>
      </c>
      <c r="J574" s="3" t="inlineStr">
        <is>
          <t>Clarify escalation criteria and communicate proactively.</t>
        </is>
      </c>
      <c r="K574" t="n">
        <v>0</v>
      </c>
    </row>
    <row r="575">
      <c r="A575" t="inlineStr">
        <is>
          <t>L014</t>
        </is>
      </c>
      <c r="B575" s="6" t="n">
        <v>46067</v>
      </c>
      <c r="C575" t="inlineStr">
        <is>
          <t>EPA01</t>
        </is>
      </c>
      <c r="D575" t="n">
        <v>3</v>
      </c>
      <c r="E575" t="inlineStr">
        <is>
          <t>A015</t>
        </is>
      </c>
      <c r="F575" t="inlineStr">
        <is>
          <t>Faculty</t>
        </is>
      </c>
      <c r="G575" t="inlineStr">
        <is>
          <t>OR</t>
        </is>
      </c>
      <c r="H575" t="inlineStr">
        <is>
          <t>CaseA</t>
        </is>
      </c>
      <c r="I575" s="3" t="inlineStr">
        <is>
          <t>Appropriate prioritization and plan articulation.</t>
        </is>
      </c>
      <c r="J575" s="3" t="inlineStr">
        <is>
          <t>Broaden the differential diagnosis and justify choices.</t>
        </is>
      </c>
      <c r="K575" t="n">
        <v>0</v>
      </c>
    </row>
    <row r="576">
      <c r="A576" t="inlineStr">
        <is>
          <t>L003</t>
        </is>
      </c>
      <c r="B576" s="6" t="n">
        <v>45976</v>
      </c>
      <c r="C576" t="inlineStr">
        <is>
          <t>EPA01</t>
        </is>
      </c>
      <c r="D576" t="n">
        <v>3</v>
      </c>
      <c r="E576" t="inlineStr">
        <is>
          <t>A008</t>
        </is>
      </c>
      <c r="F576" t="inlineStr">
        <is>
          <t>AlliedHealth</t>
        </is>
      </c>
      <c r="G576" t="inlineStr">
        <is>
          <t>Sim</t>
        </is>
      </c>
      <c r="H576" t="inlineStr">
        <is>
          <t>CaseD</t>
        </is>
      </c>
      <c r="I576" s="3" t="inlineStr">
        <is>
          <t>Good clinical reasoning with key findings identified.</t>
        </is>
      </c>
      <c r="J576" s="3" t="inlineStr">
        <is>
          <t>Clarify escalation criteria and communicate proactively.</t>
        </is>
      </c>
      <c r="K576" t="n">
        <v>0</v>
      </c>
    </row>
    <row r="577">
      <c r="A577" t="inlineStr">
        <is>
          <t>L013</t>
        </is>
      </c>
      <c r="B577" s="6" t="n">
        <v>45934</v>
      </c>
      <c r="C577" t="inlineStr">
        <is>
          <t>EPA04</t>
        </is>
      </c>
      <c r="D577" t="n">
        <v>5</v>
      </c>
      <c r="E577" t="inlineStr">
        <is>
          <t>A002</t>
        </is>
      </c>
      <c r="F577" t="inlineStr">
        <is>
          <t>Faculty</t>
        </is>
      </c>
      <c r="G577" t="inlineStr">
        <is>
          <t>ICU</t>
        </is>
      </c>
      <c r="H577" t="inlineStr">
        <is>
          <t>CaseE</t>
        </is>
      </c>
      <c r="I577" s="3" t="inlineStr">
        <is>
          <t>Clear structure and communication.</t>
        </is>
      </c>
      <c r="J577" s="3" t="inlineStr">
        <is>
          <t>Be more concise and state the plan earlier.</t>
        </is>
      </c>
      <c r="K577" t="n">
        <v>0</v>
      </c>
    </row>
    <row r="578">
      <c r="A578" t="inlineStr">
        <is>
          <t>L022</t>
        </is>
      </c>
      <c r="B578" s="6" t="n">
        <v>46067</v>
      </c>
      <c r="C578" t="inlineStr">
        <is>
          <t>EPA06</t>
        </is>
      </c>
      <c r="D578" t="n">
        <v>2</v>
      </c>
      <c r="E578" t="inlineStr">
        <is>
          <t>A001</t>
        </is>
      </c>
      <c r="F578" t="inlineStr">
        <is>
          <t>Faculty</t>
        </is>
      </c>
      <c r="G578" t="inlineStr">
        <is>
          <t>OPD</t>
        </is>
      </c>
      <c r="H578" t="inlineStr">
        <is>
          <t>CaseE</t>
        </is>
      </c>
      <c r="I578" s="3" t="inlineStr">
        <is>
          <t>Clear structure and communication.</t>
        </is>
      </c>
      <c r="J578" s="3" t="n"/>
      <c r="K578" t="n">
        <v>0</v>
      </c>
    </row>
    <row r="579">
      <c r="A579" t="inlineStr">
        <is>
          <t>L019</t>
        </is>
      </c>
      <c r="B579" s="6" t="n">
        <v>45904</v>
      </c>
      <c r="C579" t="inlineStr">
        <is>
          <t>EPA04</t>
        </is>
      </c>
      <c r="D579" t="n">
        <v>3</v>
      </c>
      <c r="E579" t="inlineStr">
        <is>
          <t>A006</t>
        </is>
      </c>
      <c r="F579" t="inlineStr">
        <is>
          <t>Faculty</t>
        </is>
      </c>
      <c r="G579" t="inlineStr">
        <is>
          <t>ED</t>
        </is>
      </c>
      <c r="H579" t="inlineStr">
        <is>
          <t>CaseF</t>
        </is>
      </c>
      <c r="I579" s="3" t="inlineStr">
        <is>
          <t>Good clinical reasoning with key findings identified.</t>
        </is>
      </c>
      <c r="J579" s="3" t="inlineStr">
        <is>
          <t>Clarify escalation criteria and communicate proactively.</t>
        </is>
      </c>
      <c r="K579" t="n">
        <v>0</v>
      </c>
    </row>
    <row r="580">
      <c r="A580" t="inlineStr">
        <is>
          <t>L009</t>
        </is>
      </c>
      <c r="B580" s="6" t="n">
        <v>45897</v>
      </c>
      <c r="C580" t="inlineStr">
        <is>
          <t>EPA08</t>
        </is>
      </c>
      <c r="D580" t="n">
        <v>5</v>
      </c>
      <c r="E580" t="inlineStr">
        <is>
          <t>A012</t>
        </is>
      </c>
      <c r="F580" t="inlineStr">
        <is>
          <t>Faculty</t>
        </is>
      </c>
      <c r="G580" t="inlineStr">
        <is>
          <t>OR</t>
        </is>
      </c>
      <c r="H580" t="inlineStr">
        <is>
          <t>CaseA</t>
        </is>
      </c>
      <c r="I580" s="3" t="inlineStr">
        <is>
          <t>Professional and patient-centered approach.</t>
        </is>
      </c>
      <c r="J580" s="3" t="inlineStr">
        <is>
          <t>Broaden the differential diagnosis and justify choices.</t>
        </is>
      </c>
      <c r="K580" t="n">
        <v>0</v>
      </c>
    </row>
    <row r="581">
      <c r="A581" t="inlineStr">
        <is>
          <t>L011</t>
        </is>
      </c>
      <c r="B581" s="6" t="n">
        <v>46003</v>
      </c>
      <c r="C581" t="inlineStr">
        <is>
          <t>EPA10</t>
        </is>
      </c>
      <c r="D581" t="n">
        <v>3</v>
      </c>
      <c r="E581" t="inlineStr">
        <is>
          <t>A014</t>
        </is>
      </c>
      <c r="F581" t="inlineStr">
        <is>
          <t>Faculty</t>
        </is>
      </c>
      <c r="G581" t="inlineStr">
        <is>
          <t>ED</t>
        </is>
      </c>
      <c r="H581" t="inlineStr">
        <is>
          <t>CaseF</t>
        </is>
      </c>
      <c r="I581" s="3" t="inlineStr">
        <is>
          <t>Good clinical reasoning with key findings identified.</t>
        </is>
      </c>
      <c r="J581" s="3" t="inlineStr">
        <is>
          <t>Document key times and decisions more clearly.</t>
        </is>
      </c>
      <c r="K581" t="n">
        <v>0</v>
      </c>
    </row>
    <row r="582">
      <c r="A582" t="inlineStr">
        <is>
          <t>L018</t>
        </is>
      </c>
      <c r="B582" s="6" t="n">
        <v>45904</v>
      </c>
      <c r="C582" t="inlineStr">
        <is>
          <t>EPA06</t>
        </is>
      </c>
      <c r="D582" t="n">
        <v>3</v>
      </c>
      <c r="E582" t="inlineStr">
        <is>
          <t>A014</t>
        </is>
      </c>
      <c r="F582" t="inlineStr">
        <is>
          <t>Faculty</t>
        </is>
      </c>
      <c r="G582" t="inlineStr">
        <is>
          <t>ICU</t>
        </is>
      </c>
      <c r="H582" t="inlineStr">
        <is>
          <t>CaseC</t>
        </is>
      </c>
      <c r="I582" s="3" t="n"/>
      <c r="J582" s="3" t="n"/>
      <c r="K582" t="n">
        <v>0</v>
      </c>
    </row>
    <row r="583">
      <c r="A583" t="inlineStr">
        <is>
          <t>L014</t>
        </is>
      </c>
      <c r="B583" s="6" t="n">
        <v>46032</v>
      </c>
      <c r="C583" t="inlineStr">
        <is>
          <t>EPA09</t>
        </is>
      </c>
      <c r="D583" t="n">
        <v>4</v>
      </c>
      <c r="E583" t="inlineStr">
        <is>
          <t>A002</t>
        </is>
      </c>
      <c r="F583" t="inlineStr">
        <is>
          <t>Faculty</t>
        </is>
      </c>
      <c r="G583" t="inlineStr">
        <is>
          <t>OR</t>
        </is>
      </c>
      <c r="H583" t="inlineStr">
        <is>
          <t>CaseB</t>
        </is>
      </c>
      <c r="I583" s="3" t="inlineStr">
        <is>
          <t>Good clinical reasoning with key findings identified.</t>
        </is>
      </c>
      <c r="J583" s="3" t="inlineStr">
        <is>
          <t>Be more concise and state the plan earlier.</t>
        </is>
      </c>
      <c r="K583" t="n">
        <v>0</v>
      </c>
    </row>
    <row r="584">
      <c r="A584" t="inlineStr">
        <is>
          <t>L007</t>
        </is>
      </c>
      <c r="B584" s="6" t="n">
        <v>45938</v>
      </c>
      <c r="C584" t="inlineStr">
        <is>
          <t>EPA04</t>
        </is>
      </c>
      <c r="D584" t="n">
        <v>3</v>
      </c>
      <c r="E584" t="inlineStr">
        <is>
          <t>A001</t>
        </is>
      </c>
      <c r="F584" t="inlineStr">
        <is>
          <t>Faculty</t>
        </is>
      </c>
      <c r="G584" t="inlineStr">
        <is>
          <t>ED</t>
        </is>
      </c>
      <c r="H584" t="inlineStr">
        <is>
          <t>CaseB</t>
        </is>
      </c>
      <c r="I584" s="3" t="inlineStr">
        <is>
          <t>Good clinical reasoning with key findings identified.</t>
        </is>
      </c>
      <c r="J584" s="3" t="inlineStr">
        <is>
          <t>Document key times and decisions more clearly.</t>
        </is>
      </c>
      <c r="K584" t="n">
        <v>0</v>
      </c>
    </row>
    <row r="585">
      <c r="A585" t="inlineStr">
        <is>
          <t>L022</t>
        </is>
      </c>
      <c r="B585" s="6" t="n">
        <v>45929</v>
      </c>
      <c r="C585" t="inlineStr">
        <is>
          <t>EPA11</t>
        </is>
      </c>
      <c r="D585" t="n">
        <v>3</v>
      </c>
      <c r="E585" t="inlineStr">
        <is>
          <t>A001</t>
        </is>
      </c>
      <c r="F585" t="inlineStr">
        <is>
          <t>Faculty</t>
        </is>
      </c>
      <c r="G585" t="inlineStr">
        <is>
          <t>OPD</t>
        </is>
      </c>
      <c r="H585" t="inlineStr">
        <is>
          <t>CaseE</t>
        </is>
      </c>
      <c r="I585" s="3" t="n"/>
      <c r="J585" s="3" t="n"/>
      <c r="K585" t="n">
        <v>0</v>
      </c>
    </row>
    <row r="586">
      <c r="A586" t="inlineStr">
        <is>
          <t>L018</t>
        </is>
      </c>
      <c r="B586" s="6" t="n">
        <v>45931</v>
      </c>
      <c r="C586" t="inlineStr">
        <is>
          <t>EPA01</t>
        </is>
      </c>
      <c r="D586" t="n">
        <v>4</v>
      </c>
      <c r="E586" t="inlineStr">
        <is>
          <t>A010</t>
        </is>
      </c>
      <c r="F586" t="inlineStr">
        <is>
          <t>Faculty</t>
        </is>
      </c>
      <c r="G586" t="inlineStr">
        <is>
          <t>OPD</t>
        </is>
      </c>
      <c r="H586" t="inlineStr">
        <is>
          <t>CaseE</t>
        </is>
      </c>
      <c r="I586" s="3" t="inlineStr">
        <is>
          <t>Good clinical reasoning with key findings identified.</t>
        </is>
      </c>
      <c r="J586" s="3" t="n"/>
      <c r="K586" t="n">
        <v>0</v>
      </c>
    </row>
    <row r="587">
      <c r="A587" t="inlineStr">
        <is>
          <t>L009</t>
        </is>
      </c>
      <c r="B587" s="6" t="n">
        <v>45899</v>
      </c>
      <c r="C587" t="inlineStr">
        <is>
          <t>EPA01</t>
        </is>
      </c>
      <c r="D587" t="n">
        <v>4</v>
      </c>
      <c r="E587" t="inlineStr">
        <is>
          <t>A013</t>
        </is>
      </c>
      <c r="F587" t="inlineStr">
        <is>
          <t>Nurse</t>
        </is>
      </c>
      <c r="G587" t="inlineStr">
        <is>
          <t>ED</t>
        </is>
      </c>
      <c r="H587" t="inlineStr">
        <is>
          <t>CaseE</t>
        </is>
      </c>
      <c r="I587" s="3" t="n"/>
      <c r="J587" s="3" t="n"/>
      <c r="K587" t="n">
        <v>0</v>
      </c>
    </row>
    <row r="588">
      <c r="A588" t="inlineStr">
        <is>
          <t>L014</t>
        </is>
      </c>
      <c r="B588" s="6" t="n">
        <v>45940</v>
      </c>
      <c r="C588" t="inlineStr">
        <is>
          <t>EPA05</t>
        </is>
      </c>
      <c r="D588" t="n">
        <v>5</v>
      </c>
      <c r="E588" t="inlineStr">
        <is>
          <t>A009</t>
        </is>
      </c>
      <c r="F588" t="inlineStr">
        <is>
          <t>AlliedHealth</t>
        </is>
      </c>
      <c r="G588" t="inlineStr">
        <is>
          <t>OR</t>
        </is>
      </c>
      <c r="H588" t="inlineStr">
        <is>
          <t>CaseE</t>
        </is>
      </c>
      <c r="I588" s="3" t="inlineStr">
        <is>
          <t>Good clinical reasoning with key findings identified.</t>
        </is>
      </c>
      <c r="J588" s="3" t="inlineStr">
        <is>
          <t>Be more concise and state the plan earlier.</t>
        </is>
      </c>
      <c r="K588" t="n">
        <v>0</v>
      </c>
    </row>
    <row r="589">
      <c r="A589" t="inlineStr">
        <is>
          <t>L022</t>
        </is>
      </c>
      <c r="B589" s="6" t="n">
        <v>45909</v>
      </c>
      <c r="C589" t="inlineStr">
        <is>
          <t>EPA01</t>
        </is>
      </c>
      <c r="D589" t="n">
        <v>3</v>
      </c>
      <c r="E589" t="inlineStr">
        <is>
          <t>A010</t>
        </is>
      </c>
      <c r="F589" t="inlineStr">
        <is>
          <t>Faculty</t>
        </is>
      </c>
      <c r="G589" t="inlineStr">
        <is>
          <t>Sim</t>
        </is>
      </c>
      <c r="H589" t="inlineStr">
        <is>
          <t>CaseD</t>
        </is>
      </c>
      <c r="I589" s="3" t="n"/>
      <c r="J589" s="3" t="n"/>
      <c r="K589" t="n">
        <v>1</v>
      </c>
    </row>
    <row r="590">
      <c r="A590" t="inlineStr">
        <is>
          <t>L009</t>
        </is>
      </c>
      <c r="B590" s="6" t="n">
        <v>45954</v>
      </c>
      <c r="C590" t="inlineStr">
        <is>
          <t>EPA02</t>
        </is>
      </c>
      <c r="D590" t="n">
        <v>4</v>
      </c>
      <c r="E590" t="inlineStr">
        <is>
          <t>A010</t>
        </is>
      </c>
      <c r="F590" t="inlineStr">
        <is>
          <t>Faculty</t>
        </is>
      </c>
      <c r="G590" t="inlineStr">
        <is>
          <t>ICU</t>
        </is>
      </c>
      <c r="H590" t="inlineStr">
        <is>
          <t>CaseE</t>
        </is>
      </c>
      <c r="I590" s="3" t="n"/>
      <c r="J590" s="3" t="n"/>
      <c r="K590" t="n">
        <v>0</v>
      </c>
    </row>
    <row r="591">
      <c r="A591" t="inlineStr">
        <is>
          <t>L018</t>
        </is>
      </c>
      <c r="B591" s="6" t="n">
        <v>46071</v>
      </c>
      <c r="C591" t="inlineStr">
        <is>
          <t>EPA09</t>
        </is>
      </c>
      <c r="D591" t="n">
        <v>4</v>
      </c>
      <c r="E591" t="inlineStr">
        <is>
          <t>A011</t>
        </is>
      </c>
      <c r="F591" t="inlineStr">
        <is>
          <t>Nurse</t>
        </is>
      </c>
      <c r="G591" t="inlineStr">
        <is>
          <t>Ward</t>
        </is>
      </c>
      <c r="H591" t="inlineStr">
        <is>
          <t>CaseA</t>
        </is>
      </c>
      <c r="I591" s="3" t="inlineStr">
        <is>
          <t>Effective teamwork and closed-loop communication.</t>
        </is>
      </c>
      <c r="J591" s="3" t="inlineStr">
        <is>
          <t>Document key times and decisions more clearly.</t>
        </is>
      </c>
      <c r="K591" t="n">
        <v>0</v>
      </c>
    </row>
    <row r="592">
      <c r="A592" t="inlineStr">
        <is>
          <t>L010</t>
        </is>
      </c>
      <c r="B592" s="6" t="n">
        <v>46060</v>
      </c>
      <c r="C592" t="inlineStr">
        <is>
          <t>EPA08</t>
        </is>
      </c>
      <c r="D592" t="n">
        <v>4</v>
      </c>
      <c r="E592" t="inlineStr">
        <is>
          <t>A012</t>
        </is>
      </c>
      <c r="F592" t="inlineStr">
        <is>
          <t>Faculty</t>
        </is>
      </c>
      <c r="G592" t="inlineStr">
        <is>
          <t>Sim</t>
        </is>
      </c>
      <c r="H592" t="inlineStr">
        <is>
          <t>CaseD</t>
        </is>
      </c>
      <c r="I592" s="3" t="n"/>
      <c r="J592" s="3" t="n"/>
      <c r="K592" t="n">
        <v>1</v>
      </c>
    </row>
    <row r="593">
      <c r="A593" t="inlineStr">
        <is>
          <t>L001</t>
        </is>
      </c>
      <c r="B593" s="6" t="n">
        <v>46043</v>
      </c>
      <c r="C593" t="inlineStr">
        <is>
          <t>EPA04</t>
        </is>
      </c>
      <c r="D593" t="n">
        <v>5</v>
      </c>
      <c r="E593" t="inlineStr">
        <is>
          <t>A006</t>
        </is>
      </c>
      <c r="F593" t="inlineStr">
        <is>
          <t>Faculty</t>
        </is>
      </c>
      <c r="G593" t="inlineStr">
        <is>
          <t>OR</t>
        </is>
      </c>
      <c r="H593" t="inlineStr">
        <is>
          <t>CaseE</t>
        </is>
      </c>
      <c r="I593" s="3" t="n"/>
      <c r="J593" s="3" t="n"/>
      <c r="K593" t="n">
        <v>0</v>
      </c>
    </row>
    <row r="594">
      <c r="A594" t="inlineStr">
        <is>
          <t>L018</t>
        </is>
      </c>
      <c r="B594" s="6" t="n">
        <v>45939</v>
      </c>
      <c r="C594" t="inlineStr">
        <is>
          <t>EPA06</t>
        </is>
      </c>
      <c r="D594" t="n">
        <v>5</v>
      </c>
      <c r="E594" t="inlineStr">
        <is>
          <t>A009</t>
        </is>
      </c>
      <c r="F594" t="inlineStr">
        <is>
          <t>AlliedHealth</t>
        </is>
      </c>
      <c r="G594" t="inlineStr">
        <is>
          <t>ED</t>
        </is>
      </c>
      <c r="H594" t="inlineStr">
        <is>
          <t>CaseE</t>
        </is>
      </c>
      <c r="I594" s="3" t="inlineStr">
        <is>
          <t>Good clinical reasoning with key findings identified.</t>
        </is>
      </c>
      <c r="J594" s="3" t="n"/>
      <c r="K594" t="n">
        <v>0</v>
      </c>
    </row>
    <row r="595">
      <c r="A595" t="inlineStr">
        <is>
          <t>L021</t>
        </is>
      </c>
      <c r="B595" s="6" t="n">
        <v>46049</v>
      </c>
      <c r="C595" t="inlineStr">
        <is>
          <t>EPA08</t>
        </is>
      </c>
      <c r="D595" t="n">
        <v>4</v>
      </c>
      <c r="E595" t="inlineStr">
        <is>
          <t>A003</t>
        </is>
      </c>
      <c r="F595" t="inlineStr">
        <is>
          <t>Faculty</t>
        </is>
      </c>
      <c r="G595" t="inlineStr">
        <is>
          <t>Sim</t>
        </is>
      </c>
      <c r="H595" t="inlineStr">
        <is>
          <t>CaseB</t>
        </is>
      </c>
      <c r="I595" s="3" t="inlineStr">
        <is>
          <t>Effective teamwork and closed-loop communication.</t>
        </is>
      </c>
      <c r="J595" s="3" t="inlineStr">
        <is>
          <t>Clarify escalation criteria and communicate proactively.</t>
        </is>
      </c>
      <c r="K595" t="n">
        <v>0</v>
      </c>
    </row>
    <row r="596">
      <c r="A596" t="inlineStr">
        <is>
          <t>L005</t>
        </is>
      </c>
      <c r="B596" s="6" t="n">
        <v>45900</v>
      </c>
      <c r="C596" t="inlineStr">
        <is>
          <t>EPA09</t>
        </is>
      </c>
      <c r="D596" t="n">
        <v>3</v>
      </c>
      <c r="E596" t="inlineStr">
        <is>
          <t>A006</t>
        </is>
      </c>
      <c r="F596" t="inlineStr">
        <is>
          <t>Faculty</t>
        </is>
      </c>
      <c r="G596" t="inlineStr">
        <is>
          <t>OR</t>
        </is>
      </c>
      <c r="H596" t="inlineStr">
        <is>
          <t>CaseC</t>
        </is>
      </c>
      <c r="I596" s="3" t="n"/>
      <c r="J596" s="3" t="n"/>
      <c r="K596" t="n">
        <v>0</v>
      </c>
    </row>
    <row r="597">
      <c r="A597" t="inlineStr">
        <is>
          <t>L006</t>
        </is>
      </c>
      <c r="B597" s="6" t="n">
        <v>45930</v>
      </c>
      <c r="C597" t="inlineStr">
        <is>
          <t>EPA02</t>
        </is>
      </c>
      <c r="D597" t="n">
        <v>3</v>
      </c>
      <c r="E597" t="inlineStr">
        <is>
          <t>A002</t>
        </is>
      </c>
      <c r="F597" t="inlineStr">
        <is>
          <t>Faculty</t>
        </is>
      </c>
      <c r="G597" t="inlineStr">
        <is>
          <t>Ward</t>
        </is>
      </c>
      <c r="H597" t="inlineStr">
        <is>
          <t>CaseF</t>
        </is>
      </c>
      <c r="I597" s="3" t="inlineStr">
        <is>
          <t>Clear structure and communication.</t>
        </is>
      </c>
      <c r="J597" s="3" t="inlineStr">
        <is>
          <t>Broaden the differential diagnosis and justify choices.</t>
        </is>
      </c>
      <c r="K597" t="n">
        <v>0</v>
      </c>
    </row>
    <row r="598">
      <c r="A598" t="inlineStr">
        <is>
          <t>L022</t>
        </is>
      </c>
      <c r="B598" s="6" t="n">
        <v>46043</v>
      </c>
      <c r="C598" t="inlineStr">
        <is>
          <t>EPA05</t>
        </is>
      </c>
      <c r="D598" t="n">
        <v>3</v>
      </c>
      <c r="E598" t="inlineStr">
        <is>
          <t>A010</t>
        </is>
      </c>
      <c r="F598" t="inlineStr">
        <is>
          <t>Faculty</t>
        </is>
      </c>
      <c r="G598" t="inlineStr">
        <is>
          <t>OR</t>
        </is>
      </c>
      <c r="H598" t="inlineStr">
        <is>
          <t>CaseB</t>
        </is>
      </c>
      <c r="I598" s="3" t="inlineStr">
        <is>
          <t>Appropriate prioritization and plan articulation.</t>
        </is>
      </c>
      <c r="J598" s="3" t="inlineStr">
        <is>
          <t>Increase efficiency while maintaining safety checks.</t>
        </is>
      </c>
      <c r="K598" t="n">
        <v>0</v>
      </c>
    </row>
    <row r="599">
      <c r="A599" t="inlineStr">
        <is>
          <t>L009</t>
        </is>
      </c>
      <c r="B599" s="6" t="n">
        <v>45920</v>
      </c>
      <c r="C599" t="inlineStr">
        <is>
          <t>EPA05</t>
        </is>
      </c>
      <c r="D599" t="n">
        <v>2</v>
      </c>
      <c r="E599" t="inlineStr">
        <is>
          <t>A004</t>
        </is>
      </c>
      <c r="F599" t="inlineStr">
        <is>
          <t>Faculty</t>
        </is>
      </c>
      <c r="G599" t="inlineStr">
        <is>
          <t>OPD</t>
        </is>
      </c>
      <c r="H599" t="inlineStr">
        <is>
          <t>CaseB</t>
        </is>
      </c>
      <c r="I599" s="3" t="inlineStr">
        <is>
          <t>Effective teamwork and closed-loop communication.</t>
        </is>
      </c>
      <c r="J599" s="3" t="inlineStr">
        <is>
          <t>Document key times and decisions more clearly.</t>
        </is>
      </c>
      <c r="K599" t="n">
        <v>0</v>
      </c>
    </row>
    <row r="600">
      <c r="A600" t="inlineStr">
        <is>
          <t>L015</t>
        </is>
      </c>
      <c r="B600" s="6" t="n">
        <v>45965</v>
      </c>
      <c r="C600" t="inlineStr">
        <is>
          <t>EPA11</t>
        </is>
      </c>
      <c r="D600" t="n">
        <v>3</v>
      </c>
      <c r="E600" t="inlineStr">
        <is>
          <t>A005</t>
        </is>
      </c>
      <c r="F600" t="inlineStr">
        <is>
          <t>Faculty</t>
        </is>
      </c>
      <c r="G600" t="inlineStr">
        <is>
          <t>ICU</t>
        </is>
      </c>
      <c r="H600" t="inlineStr">
        <is>
          <t>CaseD</t>
        </is>
      </c>
      <c r="I600" s="3" t="inlineStr">
        <is>
          <t>Good clinical reasoning with key findings identified.</t>
        </is>
      </c>
      <c r="J600" s="3" t="inlineStr">
        <is>
          <t>Document key times and decisions more clearly.</t>
        </is>
      </c>
      <c r="K600" t="n">
        <v>0</v>
      </c>
    </row>
    <row r="601">
      <c r="A601" t="inlineStr">
        <is>
          <t>L021</t>
        </is>
      </c>
      <c r="B601" s="6" t="n">
        <v>46024</v>
      </c>
      <c r="C601" t="inlineStr">
        <is>
          <t>EPA05</t>
        </is>
      </c>
      <c r="D601" t="n">
        <v>3</v>
      </c>
      <c r="E601" t="inlineStr">
        <is>
          <t>A015</t>
        </is>
      </c>
      <c r="F601" t="inlineStr">
        <is>
          <t>Faculty</t>
        </is>
      </c>
      <c r="G601" t="inlineStr">
        <is>
          <t>ED</t>
        </is>
      </c>
      <c r="H601" t="inlineStr">
        <is>
          <t>CaseG</t>
        </is>
      </c>
      <c r="I601" s="3" t="inlineStr">
        <is>
          <t>Appropriate prioritization and plan articulation.</t>
        </is>
      </c>
      <c r="J601" s="3" t="inlineStr">
        <is>
          <t>Document key times and decisions more clearly.</t>
        </is>
      </c>
      <c r="K601" t="n">
        <v>0</v>
      </c>
    </row>
    <row r="602">
      <c r="A602" t="inlineStr">
        <is>
          <t>L003</t>
        </is>
      </c>
      <c r="B602" s="6" t="n">
        <v>45905</v>
      </c>
      <c r="C602" t="inlineStr">
        <is>
          <t>EPA01</t>
        </is>
      </c>
      <c r="D602" t="n">
        <v>3</v>
      </c>
      <c r="E602" t="inlineStr">
        <is>
          <t>A011</t>
        </is>
      </c>
      <c r="F602" t="inlineStr">
        <is>
          <t>Nurse</t>
        </is>
      </c>
      <c r="G602" t="inlineStr">
        <is>
          <t>ED</t>
        </is>
      </c>
      <c r="H602" t="inlineStr">
        <is>
          <t>CaseF</t>
        </is>
      </c>
      <c r="I602" s="3" t="inlineStr">
        <is>
          <t>Professional and patient-centered approach.</t>
        </is>
      </c>
      <c r="J602" s="3" t="n"/>
      <c r="K602" t="n">
        <v>0</v>
      </c>
    </row>
    <row r="603">
      <c r="A603" t="inlineStr">
        <is>
          <t>L011</t>
        </is>
      </c>
      <c r="B603" s="6" t="n">
        <v>46064</v>
      </c>
      <c r="C603" t="inlineStr">
        <is>
          <t>EPA01</t>
        </is>
      </c>
      <c r="D603" t="n">
        <v>2</v>
      </c>
      <c r="E603" t="inlineStr">
        <is>
          <t>A003</t>
        </is>
      </c>
      <c r="F603" t="inlineStr">
        <is>
          <t>Faculty</t>
        </is>
      </c>
      <c r="G603" t="inlineStr">
        <is>
          <t>Sim</t>
        </is>
      </c>
      <c r="H603" t="inlineStr">
        <is>
          <t>CaseC</t>
        </is>
      </c>
      <c r="I603" s="3" t="n"/>
      <c r="J603" s="3" t="n"/>
      <c r="K603" t="n">
        <v>0</v>
      </c>
    </row>
    <row r="604">
      <c r="A604" t="inlineStr">
        <is>
          <t>L003</t>
        </is>
      </c>
      <c r="B604" s="6" t="n">
        <v>45972</v>
      </c>
      <c r="C604" t="inlineStr">
        <is>
          <t>EPA09</t>
        </is>
      </c>
      <c r="D604" t="n">
        <v>3</v>
      </c>
      <c r="E604" t="inlineStr">
        <is>
          <t>A013</t>
        </is>
      </c>
      <c r="F604" t="inlineStr">
        <is>
          <t>Nurse</t>
        </is>
      </c>
      <c r="G604" t="inlineStr">
        <is>
          <t>OPD</t>
        </is>
      </c>
      <c r="H604" t="inlineStr">
        <is>
          <t>CaseC</t>
        </is>
      </c>
      <c r="I604" s="3" t="inlineStr">
        <is>
          <t>Effective teamwork and closed-loop communication.</t>
        </is>
      </c>
      <c r="J604" s="3" t="inlineStr">
        <is>
          <t>Broaden the differential diagnosis and justify choices.</t>
        </is>
      </c>
      <c r="K604" t="n">
        <v>0</v>
      </c>
    </row>
    <row r="605">
      <c r="A605" t="inlineStr">
        <is>
          <t>L005</t>
        </is>
      </c>
      <c r="B605" s="6" t="n">
        <v>45978</v>
      </c>
      <c r="C605" t="inlineStr">
        <is>
          <t>EPA08</t>
        </is>
      </c>
      <c r="D605" t="n">
        <v>2</v>
      </c>
      <c r="E605" t="inlineStr">
        <is>
          <t>A006</t>
        </is>
      </c>
      <c r="F605" t="inlineStr">
        <is>
          <t>Faculty</t>
        </is>
      </c>
      <c r="G605" t="inlineStr">
        <is>
          <t>Ward</t>
        </is>
      </c>
      <c r="H605" t="inlineStr">
        <is>
          <t>CaseB</t>
        </is>
      </c>
      <c r="I605" s="3" t="inlineStr">
        <is>
          <t>Professional and patient-centered approach.</t>
        </is>
      </c>
      <c r="J605" s="3" t="inlineStr">
        <is>
          <t>Broaden the differential diagnosis and justify choices.</t>
        </is>
      </c>
      <c r="K605" t="n">
        <v>0</v>
      </c>
    </row>
    <row r="606">
      <c r="A606" t="inlineStr">
        <is>
          <t>L002</t>
        </is>
      </c>
      <c r="B606" s="6" t="n">
        <v>45979</v>
      </c>
      <c r="C606" t="inlineStr">
        <is>
          <t>EPA02</t>
        </is>
      </c>
      <c r="D606" t="n">
        <v>4</v>
      </c>
      <c r="E606" t="inlineStr">
        <is>
          <t>A013</t>
        </is>
      </c>
      <c r="F606" t="inlineStr">
        <is>
          <t>Nurse</t>
        </is>
      </c>
      <c r="G606" t="inlineStr">
        <is>
          <t>Sim</t>
        </is>
      </c>
      <c r="H606" t="inlineStr">
        <is>
          <t>CaseB</t>
        </is>
      </c>
      <c r="I606" s="3" t="inlineStr">
        <is>
          <t>Appropriate prioritization and plan articulation.</t>
        </is>
      </c>
      <c r="J606" s="3" t="inlineStr">
        <is>
          <t>Increase efficiency while maintaining safety checks.</t>
        </is>
      </c>
      <c r="K606" t="n">
        <v>0</v>
      </c>
    </row>
    <row r="607">
      <c r="A607" t="inlineStr">
        <is>
          <t>L025</t>
        </is>
      </c>
      <c r="B607" s="6" t="n">
        <v>46065</v>
      </c>
      <c r="C607" t="inlineStr">
        <is>
          <t>EPA12</t>
        </is>
      </c>
      <c r="D607" t="n">
        <v>4</v>
      </c>
      <c r="E607" t="inlineStr">
        <is>
          <t>A013</t>
        </is>
      </c>
      <c r="F607" t="inlineStr">
        <is>
          <t>Nurse</t>
        </is>
      </c>
      <c r="G607" t="inlineStr">
        <is>
          <t>ED</t>
        </is>
      </c>
      <c r="H607" t="inlineStr">
        <is>
          <t>CaseA</t>
        </is>
      </c>
      <c r="I607" s="3" t="inlineStr">
        <is>
          <t>Effective teamwork and closed-loop communication.</t>
        </is>
      </c>
      <c r="J607" s="3" t="inlineStr">
        <is>
          <t>Document key times and decisions more clearly.</t>
        </is>
      </c>
      <c r="K607" t="n">
        <v>0</v>
      </c>
    </row>
    <row r="608">
      <c r="A608" t="inlineStr">
        <is>
          <t>L006</t>
        </is>
      </c>
      <c r="B608" s="6" t="n">
        <v>45949</v>
      </c>
      <c r="C608" t="inlineStr">
        <is>
          <t>EPA11</t>
        </is>
      </c>
      <c r="D608" t="n">
        <v>3</v>
      </c>
      <c r="E608" t="inlineStr">
        <is>
          <t>A013</t>
        </is>
      </c>
      <c r="F608" t="inlineStr">
        <is>
          <t>Nurse</t>
        </is>
      </c>
      <c r="G608" t="inlineStr">
        <is>
          <t>Ward</t>
        </is>
      </c>
      <c r="H608" t="inlineStr">
        <is>
          <t>CaseC</t>
        </is>
      </c>
      <c r="I608" s="3" t="inlineStr">
        <is>
          <t>Clear structure and communication.</t>
        </is>
      </c>
      <c r="J608" s="3" t="inlineStr">
        <is>
          <t>Broaden the differential diagnosis and justify choices.</t>
        </is>
      </c>
      <c r="K608" t="n">
        <v>0</v>
      </c>
    </row>
    <row r="609">
      <c r="A609" t="inlineStr">
        <is>
          <t>L012</t>
        </is>
      </c>
      <c r="B609" s="6" t="n">
        <v>45915</v>
      </c>
      <c r="C609" t="inlineStr">
        <is>
          <t>EPA10</t>
        </is>
      </c>
      <c r="D609" t="n">
        <v>5</v>
      </c>
      <c r="E609" t="inlineStr">
        <is>
          <t>A007</t>
        </is>
      </c>
      <c r="F609" t="inlineStr">
        <is>
          <t>Faculty</t>
        </is>
      </c>
      <c r="G609" t="inlineStr">
        <is>
          <t>ICU</t>
        </is>
      </c>
      <c r="H609" t="inlineStr">
        <is>
          <t>CaseF</t>
        </is>
      </c>
      <c r="I609" s="3" t="inlineStr">
        <is>
          <t>Professional and patient-centered approach.</t>
        </is>
      </c>
      <c r="J609" s="3" t="inlineStr">
        <is>
          <t>Be more concise and state the plan earlier.</t>
        </is>
      </c>
      <c r="K609" t="n">
        <v>0</v>
      </c>
    </row>
    <row r="610">
      <c r="A610" t="inlineStr">
        <is>
          <t>L001</t>
        </is>
      </c>
      <c r="B610" s="6" t="n">
        <v>46035</v>
      </c>
      <c r="C610" t="inlineStr">
        <is>
          <t>EPA10</t>
        </is>
      </c>
      <c r="D610" t="n">
        <v>4</v>
      </c>
      <c r="E610" t="inlineStr">
        <is>
          <t>A003</t>
        </is>
      </c>
      <c r="F610" t="inlineStr">
        <is>
          <t>Faculty</t>
        </is>
      </c>
      <c r="G610" t="inlineStr">
        <is>
          <t>OPD</t>
        </is>
      </c>
      <c r="H610" t="inlineStr">
        <is>
          <t>CaseC</t>
        </is>
      </c>
      <c r="I610" s="3" t="inlineStr">
        <is>
          <t>Professional and patient-centered approach.</t>
        </is>
      </c>
      <c r="J610" s="3" t="inlineStr">
        <is>
          <t>Broaden the differential diagnosis and justify choices.</t>
        </is>
      </c>
      <c r="K610" t="n">
        <v>0</v>
      </c>
    </row>
    <row r="611">
      <c r="A611" t="inlineStr">
        <is>
          <t>L003</t>
        </is>
      </c>
      <c r="B611" s="6" t="n">
        <v>46045</v>
      </c>
      <c r="C611" t="inlineStr">
        <is>
          <t>EPA07</t>
        </is>
      </c>
      <c r="D611" t="n">
        <v>2</v>
      </c>
      <c r="E611" t="inlineStr">
        <is>
          <t>A012</t>
        </is>
      </c>
      <c r="F611" t="inlineStr">
        <is>
          <t>Faculty</t>
        </is>
      </c>
      <c r="G611" t="inlineStr">
        <is>
          <t>OPD</t>
        </is>
      </c>
      <c r="H611" t="inlineStr">
        <is>
          <t>CaseB</t>
        </is>
      </c>
      <c r="I611" s="3" t="n"/>
      <c r="J611" s="3" t="n"/>
      <c r="K611" t="n">
        <v>0</v>
      </c>
    </row>
    <row r="612">
      <c r="A612" t="inlineStr">
        <is>
          <t>L014</t>
        </is>
      </c>
      <c r="B612" s="6" t="n">
        <v>45992</v>
      </c>
      <c r="C612" t="inlineStr">
        <is>
          <t>EPA03</t>
        </is>
      </c>
      <c r="D612" t="n">
        <v>4</v>
      </c>
      <c r="E612" t="inlineStr">
        <is>
          <t>A012</t>
        </is>
      </c>
      <c r="F612" t="inlineStr">
        <is>
          <t>Faculty</t>
        </is>
      </c>
      <c r="G612" t="inlineStr">
        <is>
          <t>ED</t>
        </is>
      </c>
      <c r="H612" t="inlineStr">
        <is>
          <t>CaseE</t>
        </is>
      </c>
      <c r="I612" s="3" t="inlineStr">
        <is>
          <t>Professional and patient-centered approach.</t>
        </is>
      </c>
      <c r="J612" s="3" t="inlineStr">
        <is>
          <t>Document key times and decisions more clearly.</t>
        </is>
      </c>
      <c r="K612" t="n">
        <v>0</v>
      </c>
    </row>
    <row r="613">
      <c r="A613" t="inlineStr">
        <is>
          <t>L004</t>
        </is>
      </c>
      <c r="B613" s="6" t="n">
        <v>45992</v>
      </c>
      <c r="C613" t="inlineStr">
        <is>
          <t>EPA07</t>
        </is>
      </c>
      <c r="D613" t="n">
        <v>3</v>
      </c>
      <c r="E613" t="inlineStr">
        <is>
          <t>A001</t>
        </is>
      </c>
      <c r="F613" t="inlineStr">
        <is>
          <t>Faculty</t>
        </is>
      </c>
      <c r="G613" t="inlineStr">
        <is>
          <t>OPD</t>
        </is>
      </c>
      <c r="H613" t="inlineStr">
        <is>
          <t>CaseA</t>
        </is>
      </c>
      <c r="I613" s="3" t="n"/>
      <c r="J613" s="3" t="n"/>
      <c r="K613" t="n">
        <v>0</v>
      </c>
    </row>
    <row r="614">
      <c r="A614" t="inlineStr">
        <is>
          <t>L007</t>
        </is>
      </c>
      <c r="B614" s="6" t="n">
        <v>45950</v>
      </c>
      <c r="C614" t="inlineStr">
        <is>
          <t>EPA06</t>
        </is>
      </c>
      <c r="D614" t="n">
        <v>2</v>
      </c>
      <c r="E614" t="inlineStr">
        <is>
          <t>A013</t>
        </is>
      </c>
      <c r="F614" t="inlineStr">
        <is>
          <t>Nurse</t>
        </is>
      </c>
      <c r="G614" t="inlineStr">
        <is>
          <t>ED</t>
        </is>
      </c>
      <c r="H614" t="inlineStr">
        <is>
          <t>CaseF</t>
        </is>
      </c>
      <c r="I614" s="3" t="n"/>
      <c r="J614" s="3" t="n"/>
      <c r="K614" t="n">
        <v>0</v>
      </c>
    </row>
    <row r="615">
      <c r="A615" t="inlineStr">
        <is>
          <t>L002</t>
        </is>
      </c>
      <c r="B615" s="6" t="n">
        <v>45949</v>
      </c>
      <c r="C615" t="inlineStr">
        <is>
          <t>EPA01</t>
        </is>
      </c>
      <c r="D615" t="n">
        <v>4</v>
      </c>
      <c r="E615" t="inlineStr">
        <is>
          <t>A011</t>
        </is>
      </c>
      <c r="F615" t="inlineStr">
        <is>
          <t>Nurse</t>
        </is>
      </c>
      <c r="G615" t="inlineStr">
        <is>
          <t>OR</t>
        </is>
      </c>
      <c r="H615" t="inlineStr">
        <is>
          <t>CaseF</t>
        </is>
      </c>
      <c r="I615" s="3" t="inlineStr">
        <is>
          <t>Clear structure and communication.</t>
        </is>
      </c>
      <c r="J615" s="3" t="inlineStr">
        <is>
          <t>Clarify escalation criteria and communicate proactively.</t>
        </is>
      </c>
      <c r="K615" t="n">
        <v>0</v>
      </c>
    </row>
    <row r="616">
      <c r="A616" t="inlineStr">
        <is>
          <t>L023</t>
        </is>
      </c>
      <c r="B616" s="6" t="n">
        <v>45906</v>
      </c>
      <c r="C616" t="inlineStr">
        <is>
          <t>EPA12</t>
        </is>
      </c>
      <c r="D616" t="n">
        <v>4</v>
      </c>
      <c r="E616" t="inlineStr">
        <is>
          <t>A007</t>
        </is>
      </c>
      <c r="F616" t="inlineStr">
        <is>
          <t>Faculty</t>
        </is>
      </c>
      <c r="G616" t="inlineStr">
        <is>
          <t>Sim</t>
        </is>
      </c>
      <c r="H616" t="inlineStr">
        <is>
          <t>CaseA</t>
        </is>
      </c>
      <c r="I616" s="3" t="inlineStr">
        <is>
          <t>Clear structure and communication.</t>
        </is>
      </c>
      <c r="J616" s="3" t="inlineStr">
        <is>
          <t>Increase efficiency while maintaining safety checks.</t>
        </is>
      </c>
      <c r="K616" t="n">
        <v>0</v>
      </c>
    </row>
    <row r="617">
      <c r="A617" t="inlineStr">
        <is>
          <t>L006</t>
        </is>
      </c>
      <c r="B617" s="6" t="n">
        <v>45921</v>
      </c>
      <c r="C617" t="inlineStr">
        <is>
          <t>EPA02</t>
        </is>
      </c>
      <c r="D617" t="n">
        <v>3</v>
      </c>
      <c r="E617" t="inlineStr">
        <is>
          <t>A010</t>
        </is>
      </c>
      <c r="F617" t="inlineStr">
        <is>
          <t>Faculty</t>
        </is>
      </c>
      <c r="G617" t="inlineStr">
        <is>
          <t>Sim</t>
        </is>
      </c>
      <c r="H617" t="inlineStr">
        <is>
          <t>CaseB</t>
        </is>
      </c>
      <c r="I617" s="3" t="inlineStr">
        <is>
          <t>Effective teamwork and closed-loop communication.</t>
        </is>
      </c>
      <c r="J617" s="3" t="inlineStr">
        <is>
          <t>Clarify escalation criteria and communicate proactively.</t>
        </is>
      </c>
      <c r="K617" t="n">
        <v>0</v>
      </c>
    </row>
    <row r="618">
      <c r="A618" t="inlineStr">
        <is>
          <t>L018</t>
        </is>
      </c>
      <c r="B618" s="6" t="n">
        <v>45953</v>
      </c>
      <c r="C618" t="inlineStr">
        <is>
          <t>EPA09</t>
        </is>
      </c>
      <c r="D618" t="n">
        <v>4</v>
      </c>
      <c r="E618" t="inlineStr">
        <is>
          <t>A003</t>
        </is>
      </c>
      <c r="F618" t="inlineStr">
        <is>
          <t>Faculty</t>
        </is>
      </c>
      <c r="G618" t="inlineStr">
        <is>
          <t>Ward</t>
        </is>
      </c>
      <c r="H618" t="inlineStr">
        <is>
          <t>CaseB</t>
        </is>
      </c>
      <c r="I618" s="3" t="n"/>
      <c r="J618" s="3" t="n"/>
      <c r="K618" t="n">
        <v>0</v>
      </c>
    </row>
    <row r="619">
      <c r="A619" t="inlineStr">
        <is>
          <t>L001</t>
        </is>
      </c>
      <c r="B619" s="6" t="n">
        <v>46067</v>
      </c>
      <c r="C619" t="inlineStr">
        <is>
          <t>EPA09</t>
        </is>
      </c>
      <c r="D619" t="n">
        <v>4</v>
      </c>
      <c r="E619" t="inlineStr">
        <is>
          <t>A006</t>
        </is>
      </c>
      <c r="F619" t="inlineStr">
        <is>
          <t>Faculty</t>
        </is>
      </c>
      <c r="G619" t="inlineStr">
        <is>
          <t>ICU</t>
        </is>
      </c>
      <c r="H619" t="inlineStr">
        <is>
          <t>CaseC</t>
        </is>
      </c>
      <c r="I619" s="3" t="n"/>
      <c r="J619" s="3" t="n"/>
      <c r="K619" t="n">
        <v>0</v>
      </c>
    </row>
    <row r="620">
      <c r="A620" t="inlineStr">
        <is>
          <t>L015</t>
        </is>
      </c>
      <c r="B620" s="6" t="n">
        <v>45908</v>
      </c>
      <c r="C620" t="inlineStr">
        <is>
          <t>EPA03</t>
        </is>
      </c>
      <c r="D620" t="n">
        <v>4</v>
      </c>
      <c r="E620" t="inlineStr">
        <is>
          <t>A003</t>
        </is>
      </c>
      <c r="F620" t="inlineStr">
        <is>
          <t>Faculty</t>
        </is>
      </c>
      <c r="G620" t="inlineStr">
        <is>
          <t>ICU</t>
        </is>
      </c>
      <c r="H620" t="inlineStr">
        <is>
          <t>CaseA</t>
        </is>
      </c>
      <c r="I620" s="3" t="inlineStr">
        <is>
          <t>Good clinical reasoning with key findings identified.</t>
        </is>
      </c>
      <c r="J620" s="3" t="n"/>
      <c r="K620" t="n">
        <v>0</v>
      </c>
    </row>
    <row r="621">
      <c r="A621" t="inlineStr">
        <is>
          <t>L017</t>
        </is>
      </c>
      <c r="B621" s="6" t="n">
        <v>45923</v>
      </c>
      <c r="C621" t="inlineStr">
        <is>
          <t>EPA02</t>
        </is>
      </c>
      <c r="D621" t="n">
        <v>3</v>
      </c>
      <c r="E621" t="inlineStr">
        <is>
          <t>A006</t>
        </is>
      </c>
      <c r="F621" t="inlineStr">
        <is>
          <t>Faculty</t>
        </is>
      </c>
      <c r="G621" t="inlineStr">
        <is>
          <t>Sim</t>
        </is>
      </c>
      <c r="H621" t="inlineStr">
        <is>
          <t>CaseB</t>
        </is>
      </c>
      <c r="I621" s="3" t="n"/>
      <c r="J621" s="3" t="n"/>
      <c r="K621" t="n">
        <v>0</v>
      </c>
    </row>
    <row r="622">
      <c r="A622" t="inlineStr">
        <is>
          <t>L024</t>
        </is>
      </c>
      <c r="B622" s="6" t="n">
        <v>46010</v>
      </c>
      <c r="C622" t="inlineStr">
        <is>
          <t>EPA04</t>
        </is>
      </c>
      <c r="D622" t="n">
        <v>4</v>
      </c>
      <c r="E622" t="inlineStr">
        <is>
          <t>A006</t>
        </is>
      </c>
      <c r="F622" t="inlineStr">
        <is>
          <t>Faculty</t>
        </is>
      </c>
      <c r="G622" t="inlineStr">
        <is>
          <t>OR</t>
        </is>
      </c>
      <c r="H622" t="inlineStr">
        <is>
          <t>CaseF</t>
        </is>
      </c>
      <c r="I622" s="3" t="inlineStr">
        <is>
          <t>Clear structure and communication.</t>
        </is>
      </c>
      <c r="J622" s="3" t="inlineStr">
        <is>
          <t>Document key times and decisions more clearly.</t>
        </is>
      </c>
      <c r="K622" t="n">
        <v>0</v>
      </c>
    </row>
    <row r="623">
      <c r="A623" t="inlineStr">
        <is>
          <t>L012</t>
        </is>
      </c>
      <c r="B623" s="6" t="n">
        <v>46045</v>
      </c>
      <c r="C623" t="inlineStr">
        <is>
          <t>EPA07</t>
        </is>
      </c>
      <c r="D623" t="n">
        <v>2</v>
      </c>
      <c r="E623" t="inlineStr">
        <is>
          <t>A012</t>
        </is>
      </c>
      <c r="F623" t="inlineStr">
        <is>
          <t>Faculty</t>
        </is>
      </c>
      <c r="G623" t="inlineStr">
        <is>
          <t>ICU</t>
        </is>
      </c>
      <c r="H623" t="inlineStr">
        <is>
          <t>CaseA</t>
        </is>
      </c>
      <c r="I623" s="3" t="inlineStr">
        <is>
          <t>Effective teamwork and closed-loop communication.</t>
        </is>
      </c>
      <c r="J623" s="3" t="inlineStr">
        <is>
          <t>Document key times and decisions more clearly.</t>
        </is>
      </c>
      <c r="K623" t="n">
        <v>0</v>
      </c>
    </row>
    <row r="624">
      <c r="A624" t="inlineStr">
        <is>
          <t>L006</t>
        </is>
      </c>
      <c r="B624" s="6" t="n">
        <v>46016</v>
      </c>
      <c r="C624" t="inlineStr">
        <is>
          <t>EPA12</t>
        </is>
      </c>
      <c r="D624" t="n">
        <v>3</v>
      </c>
      <c r="E624" t="inlineStr">
        <is>
          <t>A008</t>
        </is>
      </c>
      <c r="F624" t="inlineStr">
        <is>
          <t>AlliedHealth</t>
        </is>
      </c>
      <c r="G624" t="inlineStr">
        <is>
          <t>Ward</t>
        </is>
      </c>
      <c r="H624" t="inlineStr">
        <is>
          <t>CaseB</t>
        </is>
      </c>
      <c r="I624" s="3" t="n"/>
      <c r="J624" s="3" t="n"/>
      <c r="K624" t="n">
        <v>0</v>
      </c>
    </row>
    <row r="625">
      <c r="A625" t="inlineStr">
        <is>
          <t>L021</t>
        </is>
      </c>
      <c r="B625" s="6" t="n">
        <v>45912</v>
      </c>
      <c r="C625" t="inlineStr">
        <is>
          <t>EPA04</t>
        </is>
      </c>
      <c r="D625" t="n">
        <v>3</v>
      </c>
      <c r="E625" t="inlineStr">
        <is>
          <t>A006</t>
        </is>
      </c>
      <c r="F625" t="inlineStr">
        <is>
          <t>Faculty</t>
        </is>
      </c>
      <c r="G625" t="inlineStr">
        <is>
          <t>OPD</t>
        </is>
      </c>
      <c r="H625" t="inlineStr">
        <is>
          <t>CaseE</t>
        </is>
      </c>
      <c r="I625" s="3" t="inlineStr">
        <is>
          <t>Good clinical reasoning with key findings identified.</t>
        </is>
      </c>
      <c r="J625" s="3" t="inlineStr">
        <is>
          <t>Document key times and decisions more clearly.</t>
        </is>
      </c>
      <c r="K625" t="n">
        <v>0</v>
      </c>
    </row>
    <row r="626">
      <c r="A626" t="inlineStr">
        <is>
          <t>L013</t>
        </is>
      </c>
      <c r="B626" s="6" t="n">
        <v>45940</v>
      </c>
      <c r="C626" t="inlineStr">
        <is>
          <t>EPA05</t>
        </is>
      </c>
      <c r="D626" t="n">
        <v>5</v>
      </c>
      <c r="E626" t="inlineStr">
        <is>
          <t>A006</t>
        </is>
      </c>
      <c r="F626" t="inlineStr">
        <is>
          <t>Faculty</t>
        </is>
      </c>
      <c r="G626" t="inlineStr">
        <is>
          <t>ED</t>
        </is>
      </c>
      <c r="H626" t="inlineStr">
        <is>
          <t>CaseF</t>
        </is>
      </c>
      <c r="I626" s="3" t="inlineStr">
        <is>
          <t>Effective teamwork and closed-loop communication.</t>
        </is>
      </c>
      <c r="J626" s="3" t="n"/>
      <c r="K626" t="n">
        <v>0</v>
      </c>
    </row>
    <row r="627">
      <c r="A627" t="inlineStr">
        <is>
          <t>L018</t>
        </is>
      </c>
      <c r="B627" s="6" t="n">
        <v>46055</v>
      </c>
      <c r="C627" t="inlineStr">
        <is>
          <t>EPA08</t>
        </is>
      </c>
      <c r="D627" t="n">
        <v>4</v>
      </c>
      <c r="E627" t="inlineStr">
        <is>
          <t>A013</t>
        </is>
      </c>
      <c r="F627" t="inlineStr">
        <is>
          <t>Nurse</t>
        </is>
      </c>
      <c r="G627" t="inlineStr">
        <is>
          <t>Sim</t>
        </is>
      </c>
      <c r="H627" t="inlineStr">
        <is>
          <t>CaseG</t>
        </is>
      </c>
      <c r="I627" s="3" t="n"/>
      <c r="J627" s="3" t="n"/>
      <c r="K627" t="n">
        <v>0</v>
      </c>
    </row>
    <row r="628">
      <c r="A628" t="inlineStr">
        <is>
          <t>L005</t>
        </is>
      </c>
      <c r="B628" s="6" t="n">
        <v>46074</v>
      </c>
      <c r="C628" t="inlineStr">
        <is>
          <t>EPA05</t>
        </is>
      </c>
      <c r="D628" t="n">
        <v>3</v>
      </c>
      <c r="E628" t="inlineStr">
        <is>
          <t>A010</t>
        </is>
      </c>
      <c r="F628" t="inlineStr">
        <is>
          <t>Faculty</t>
        </is>
      </c>
      <c r="G628" t="inlineStr">
        <is>
          <t>ED</t>
        </is>
      </c>
      <c r="H628" t="inlineStr">
        <is>
          <t>CaseA</t>
        </is>
      </c>
      <c r="I628" s="3" t="inlineStr">
        <is>
          <t>Appropriate prioritization and plan articulation.</t>
        </is>
      </c>
      <c r="J628" s="3" t="inlineStr">
        <is>
          <t>Document key times and decisions more clearly.</t>
        </is>
      </c>
      <c r="K628" t="n">
        <v>0</v>
      </c>
    </row>
    <row r="629">
      <c r="A629" t="inlineStr">
        <is>
          <t>L017</t>
        </is>
      </c>
      <c r="B629" s="6" t="n">
        <v>46014</v>
      </c>
      <c r="C629" t="inlineStr">
        <is>
          <t>EPA06</t>
        </is>
      </c>
      <c r="D629" t="n">
        <v>1</v>
      </c>
      <c r="E629" t="inlineStr">
        <is>
          <t>A003</t>
        </is>
      </c>
      <c r="F629" t="inlineStr">
        <is>
          <t>Faculty</t>
        </is>
      </c>
      <c r="G629" t="inlineStr">
        <is>
          <t>OR</t>
        </is>
      </c>
      <c r="H629" t="inlineStr">
        <is>
          <t>CaseA</t>
        </is>
      </c>
      <c r="I629" s="3" t="inlineStr">
        <is>
          <t>Clear structure and communication.</t>
        </is>
      </c>
      <c r="J629" s="3" t="inlineStr">
        <is>
          <t>Broaden the differential diagnosis and justify choices.</t>
        </is>
      </c>
      <c r="K629" t="n">
        <v>0</v>
      </c>
    </row>
    <row r="630">
      <c r="A630" t="inlineStr">
        <is>
          <t>L025</t>
        </is>
      </c>
      <c r="B630" s="6" t="n">
        <v>45998</v>
      </c>
      <c r="C630" t="inlineStr">
        <is>
          <t>EPA09</t>
        </is>
      </c>
      <c r="D630" t="n">
        <v>4</v>
      </c>
      <c r="E630" t="inlineStr">
        <is>
          <t>A009</t>
        </is>
      </c>
      <c r="F630" t="inlineStr">
        <is>
          <t>AlliedHealth</t>
        </is>
      </c>
      <c r="G630" t="inlineStr">
        <is>
          <t>ICU</t>
        </is>
      </c>
      <c r="H630" t="inlineStr">
        <is>
          <t>CaseC</t>
        </is>
      </c>
      <c r="I630" s="3" t="inlineStr">
        <is>
          <t>Effective teamwork and closed-loop communication.</t>
        </is>
      </c>
      <c r="J630" s="3" t="inlineStr">
        <is>
          <t>Increase efficiency while maintaining safety checks.</t>
        </is>
      </c>
      <c r="K630" t="n">
        <v>0</v>
      </c>
    </row>
    <row r="631">
      <c r="A631" t="inlineStr">
        <is>
          <t>L007</t>
        </is>
      </c>
      <c r="B631" s="6" t="n">
        <v>45964</v>
      </c>
      <c r="C631" t="inlineStr">
        <is>
          <t>EPA01</t>
        </is>
      </c>
      <c r="D631" t="n">
        <v>3</v>
      </c>
      <c r="E631" t="inlineStr">
        <is>
          <t>A008</t>
        </is>
      </c>
      <c r="F631" t="inlineStr">
        <is>
          <t>AlliedHealth</t>
        </is>
      </c>
      <c r="G631" t="inlineStr">
        <is>
          <t>Sim</t>
        </is>
      </c>
      <c r="H631" t="inlineStr">
        <is>
          <t>CaseA</t>
        </is>
      </c>
      <c r="I631" s="3" t="n"/>
      <c r="J631" s="3" t="n"/>
      <c r="K631" t="n">
        <v>0</v>
      </c>
    </row>
    <row r="632">
      <c r="A632" t="inlineStr">
        <is>
          <t>L004</t>
        </is>
      </c>
      <c r="B632" s="6" t="n">
        <v>45989</v>
      </c>
      <c r="C632" t="inlineStr">
        <is>
          <t>EPA07</t>
        </is>
      </c>
      <c r="D632" t="n">
        <v>3</v>
      </c>
      <c r="E632" t="inlineStr">
        <is>
          <t>A013</t>
        </is>
      </c>
      <c r="F632" t="inlineStr">
        <is>
          <t>Nurse</t>
        </is>
      </c>
      <c r="G632" t="inlineStr">
        <is>
          <t>ED</t>
        </is>
      </c>
      <c r="H632" t="inlineStr">
        <is>
          <t>CaseB</t>
        </is>
      </c>
      <c r="I632" s="3" t="inlineStr">
        <is>
          <t>Effective teamwork and closed-loop communication.</t>
        </is>
      </c>
      <c r="J632" s="3" t="n"/>
      <c r="K632" t="n">
        <v>0</v>
      </c>
    </row>
    <row r="633">
      <c r="A633" t="inlineStr">
        <is>
          <t>L022</t>
        </is>
      </c>
      <c r="B633" s="6" t="n">
        <v>46063</v>
      </c>
      <c r="C633" t="inlineStr">
        <is>
          <t>EPA01</t>
        </is>
      </c>
      <c r="D633" t="n">
        <v>3</v>
      </c>
      <c r="E633" t="inlineStr">
        <is>
          <t>A006</t>
        </is>
      </c>
      <c r="F633" t="inlineStr">
        <is>
          <t>Faculty</t>
        </is>
      </c>
      <c r="G633" t="inlineStr">
        <is>
          <t>OR</t>
        </is>
      </c>
      <c r="H633" t="inlineStr">
        <is>
          <t>CaseA</t>
        </is>
      </c>
      <c r="I633" s="3" t="inlineStr">
        <is>
          <t>Effective teamwork and closed-loop communication.</t>
        </is>
      </c>
      <c r="J633" s="3" t="inlineStr">
        <is>
          <t>Document key times and decisions more clearly.</t>
        </is>
      </c>
      <c r="K633" t="n">
        <v>0</v>
      </c>
    </row>
    <row r="634">
      <c r="A634" t="inlineStr">
        <is>
          <t>L006</t>
        </is>
      </c>
      <c r="B634" s="6" t="n">
        <v>45948</v>
      </c>
      <c r="C634" t="inlineStr">
        <is>
          <t>EPA12</t>
        </is>
      </c>
      <c r="D634" t="n">
        <v>3</v>
      </c>
      <c r="E634" t="inlineStr">
        <is>
          <t>A007</t>
        </is>
      </c>
      <c r="F634" t="inlineStr">
        <is>
          <t>Faculty</t>
        </is>
      </c>
      <c r="G634" t="inlineStr">
        <is>
          <t>Ward</t>
        </is>
      </c>
      <c r="H634" t="inlineStr">
        <is>
          <t>CaseF</t>
        </is>
      </c>
      <c r="I634" s="3" t="inlineStr">
        <is>
          <t>Effective teamwork and closed-loop communication.</t>
        </is>
      </c>
      <c r="J634" s="3" t="n"/>
      <c r="K634" t="n">
        <v>0</v>
      </c>
    </row>
    <row r="635">
      <c r="A635" t="inlineStr">
        <is>
          <t>L012</t>
        </is>
      </c>
      <c r="B635" s="6" t="n">
        <v>45994</v>
      </c>
      <c r="C635" t="inlineStr">
        <is>
          <t>EPA01</t>
        </is>
      </c>
      <c r="D635" t="n">
        <v>4</v>
      </c>
      <c r="E635" t="inlineStr">
        <is>
          <t>A004</t>
        </is>
      </c>
      <c r="F635" t="inlineStr">
        <is>
          <t>Faculty</t>
        </is>
      </c>
      <c r="G635" t="inlineStr">
        <is>
          <t>ICU</t>
        </is>
      </c>
      <c r="H635" t="inlineStr">
        <is>
          <t>CaseD</t>
        </is>
      </c>
      <c r="I635" s="3" t="inlineStr">
        <is>
          <t>Professional and patient-centered approach.</t>
        </is>
      </c>
      <c r="J635" s="3" t="inlineStr">
        <is>
          <t>Increase efficiency while maintaining safety checks.</t>
        </is>
      </c>
      <c r="K635" t="n">
        <v>0</v>
      </c>
    </row>
    <row r="636">
      <c r="A636" t="inlineStr">
        <is>
          <t>L008</t>
        </is>
      </c>
      <c r="B636" s="6" t="n">
        <v>45905</v>
      </c>
      <c r="C636" t="inlineStr">
        <is>
          <t>EPA10</t>
        </is>
      </c>
      <c r="D636" t="n">
        <v>5</v>
      </c>
      <c r="E636" t="inlineStr">
        <is>
          <t>A005</t>
        </is>
      </c>
      <c r="F636" t="inlineStr">
        <is>
          <t>Faculty</t>
        </is>
      </c>
      <c r="G636" t="inlineStr">
        <is>
          <t>ED</t>
        </is>
      </c>
      <c r="H636" t="inlineStr">
        <is>
          <t>CaseF</t>
        </is>
      </c>
      <c r="I636" s="3" t="inlineStr">
        <is>
          <t>Clear structure and communication.</t>
        </is>
      </c>
      <c r="J636" s="3" t="inlineStr">
        <is>
          <t>Document key times and decisions more clearly.</t>
        </is>
      </c>
      <c r="K636" t="n">
        <v>0</v>
      </c>
    </row>
    <row r="637">
      <c r="A637" t="inlineStr">
        <is>
          <t>L014</t>
        </is>
      </c>
      <c r="B637" s="6" t="n">
        <v>46070</v>
      </c>
      <c r="C637" t="inlineStr">
        <is>
          <t>EPA01</t>
        </is>
      </c>
      <c r="D637" t="n">
        <v>4</v>
      </c>
      <c r="E637" t="inlineStr">
        <is>
          <t>A001</t>
        </is>
      </c>
      <c r="F637" t="inlineStr">
        <is>
          <t>Faculty</t>
        </is>
      </c>
      <c r="G637" t="inlineStr">
        <is>
          <t>OR</t>
        </is>
      </c>
      <c r="H637" t="inlineStr">
        <is>
          <t>CaseD</t>
        </is>
      </c>
      <c r="I637" s="3" t="inlineStr">
        <is>
          <t>Professional and patient-centered approach.</t>
        </is>
      </c>
      <c r="J637" s="3" t="inlineStr">
        <is>
          <t>Clarify escalation criteria and communicate proactively.</t>
        </is>
      </c>
      <c r="K637" t="n">
        <v>0</v>
      </c>
    </row>
    <row r="638">
      <c r="A638" t="inlineStr">
        <is>
          <t>L011</t>
        </is>
      </c>
      <c r="B638" s="6" t="n">
        <v>46000</v>
      </c>
      <c r="C638" t="inlineStr">
        <is>
          <t>EPA08</t>
        </is>
      </c>
      <c r="D638" t="n">
        <v>3</v>
      </c>
      <c r="E638" t="inlineStr">
        <is>
          <t>A010</t>
        </is>
      </c>
      <c r="F638" t="inlineStr">
        <is>
          <t>Faculty</t>
        </is>
      </c>
      <c r="G638" t="inlineStr">
        <is>
          <t>OPD</t>
        </is>
      </c>
      <c r="H638" t="inlineStr">
        <is>
          <t>CaseB</t>
        </is>
      </c>
      <c r="I638" s="3" t="n"/>
      <c r="J638" s="3" t="n"/>
      <c r="K638" t="n">
        <v>0</v>
      </c>
    </row>
    <row r="639">
      <c r="A639" t="inlineStr">
        <is>
          <t>L002</t>
        </is>
      </c>
      <c r="B639" s="6" t="n">
        <v>45976</v>
      </c>
      <c r="C639" t="inlineStr">
        <is>
          <t>EPA11</t>
        </is>
      </c>
      <c r="D639" t="n">
        <v>4</v>
      </c>
      <c r="E639" t="inlineStr">
        <is>
          <t>A011</t>
        </is>
      </c>
      <c r="F639" t="inlineStr">
        <is>
          <t>Nurse</t>
        </is>
      </c>
      <c r="G639" t="inlineStr">
        <is>
          <t>ED</t>
        </is>
      </c>
      <c r="H639" t="inlineStr">
        <is>
          <t>CaseC</t>
        </is>
      </c>
      <c r="I639" s="3" t="n"/>
      <c r="J639" s="3" t="n"/>
      <c r="K639" t="n">
        <v>0</v>
      </c>
    </row>
    <row r="640">
      <c r="A640" t="inlineStr">
        <is>
          <t>L023</t>
        </is>
      </c>
      <c r="B640" s="6" t="n">
        <v>45973</v>
      </c>
      <c r="C640" t="inlineStr">
        <is>
          <t>EPA12</t>
        </is>
      </c>
      <c r="D640" t="n">
        <v>5</v>
      </c>
      <c r="E640" t="inlineStr">
        <is>
          <t>A010</t>
        </is>
      </c>
      <c r="F640" t="inlineStr">
        <is>
          <t>Faculty</t>
        </is>
      </c>
      <c r="G640" t="inlineStr">
        <is>
          <t>OR</t>
        </is>
      </c>
      <c r="H640" t="inlineStr">
        <is>
          <t>CaseD</t>
        </is>
      </c>
      <c r="I640" s="3" t="inlineStr">
        <is>
          <t>Appropriate prioritization and plan articulation.</t>
        </is>
      </c>
      <c r="J640" s="3" t="inlineStr">
        <is>
          <t>Be more concise and state the plan earlier.</t>
        </is>
      </c>
      <c r="K640" t="n">
        <v>0</v>
      </c>
    </row>
    <row r="641">
      <c r="A641" t="inlineStr">
        <is>
          <t>L014</t>
        </is>
      </c>
      <c r="B641" s="6" t="n">
        <v>45924</v>
      </c>
      <c r="C641" t="inlineStr">
        <is>
          <t>EPA05</t>
        </is>
      </c>
      <c r="D641" t="n">
        <v>4</v>
      </c>
      <c r="E641" t="inlineStr">
        <is>
          <t>A012</t>
        </is>
      </c>
      <c r="F641" t="inlineStr">
        <is>
          <t>Faculty</t>
        </is>
      </c>
      <c r="G641" t="inlineStr">
        <is>
          <t>Sim</t>
        </is>
      </c>
      <c r="H641" t="inlineStr">
        <is>
          <t>CaseF</t>
        </is>
      </c>
      <c r="I641" s="3" t="inlineStr">
        <is>
          <t>Good clinical reasoning with key findings identified.</t>
        </is>
      </c>
      <c r="J641" s="3" t="inlineStr">
        <is>
          <t>Broaden the differential diagnosis and justify choices.</t>
        </is>
      </c>
      <c r="K641" t="n">
        <v>0</v>
      </c>
    </row>
    <row r="642">
      <c r="A642" t="inlineStr">
        <is>
          <t>L006</t>
        </is>
      </c>
      <c r="B642" s="6" t="n">
        <v>45898</v>
      </c>
      <c r="C642" t="inlineStr">
        <is>
          <t>EPA12</t>
        </is>
      </c>
      <c r="D642" t="n">
        <v>4</v>
      </c>
      <c r="E642" t="inlineStr">
        <is>
          <t>A006</t>
        </is>
      </c>
      <c r="F642" t="inlineStr">
        <is>
          <t>Faculty</t>
        </is>
      </c>
      <c r="G642" t="inlineStr">
        <is>
          <t>ED</t>
        </is>
      </c>
      <c r="H642" t="inlineStr">
        <is>
          <t>CaseB</t>
        </is>
      </c>
      <c r="I642" s="3" t="inlineStr">
        <is>
          <t>Good clinical reasoning with key findings identified.</t>
        </is>
      </c>
      <c r="J642" s="3" t="inlineStr">
        <is>
          <t>Clarify escalation criteria and communicate proactively.</t>
        </is>
      </c>
      <c r="K642" t="n">
        <v>0</v>
      </c>
    </row>
    <row r="643">
      <c r="A643" t="inlineStr">
        <is>
          <t>L001</t>
        </is>
      </c>
      <c r="B643" s="6" t="n">
        <v>45967</v>
      </c>
      <c r="C643" t="inlineStr">
        <is>
          <t>EPA01</t>
        </is>
      </c>
      <c r="D643" t="n">
        <v>4</v>
      </c>
      <c r="E643" t="inlineStr">
        <is>
          <t>A005</t>
        </is>
      </c>
      <c r="F643" t="inlineStr">
        <is>
          <t>Faculty</t>
        </is>
      </c>
      <c r="G643" t="inlineStr">
        <is>
          <t>ICU</t>
        </is>
      </c>
      <c r="H643" t="inlineStr">
        <is>
          <t>CaseA</t>
        </is>
      </c>
      <c r="I643" s="3" t="inlineStr">
        <is>
          <t>Effective teamwork and closed-loop communication.</t>
        </is>
      </c>
      <c r="J643" s="3" t="inlineStr">
        <is>
          <t>Clarify escalation criteria and communicate proactively.</t>
        </is>
      </c>
      <c r="K643" t="n">
        <v>0</v>
      </c>
    </row>
    <row r="644">
      <c r="A644" t="inlineStr">
        <is>
          <t>L021</t>
        </is>
      </c>
      <c r="B644" s="6" t="n">
        <v>46001</v>
      </c>
      <c r="C644" t="inlineStr">
        <is>
          <t>EPA02</t>
        </is>
      </c>
      <c r="D644" t="n">
        <v>3</v>
      </c>
      <c r="E644" t="inlineStr">
        <is>
          <t>A007</t>
        </is>
      </c>
      <c r="F644" t="inlineStr">
        <is>
          <t>Faculty</t>
        </is>
      </c>
      <c r="G644" t="inlineStr">
        <is>
          <t>Ward</t>
        </is>
      </c>
      <c r="H644" t="inlineStr">
        <is>
          <t>CaseF</t>
        </is>
      </c>
      <c r="I644" s="3" t="inlineStr">
        <is>
          <t>Appropriate prioritization and plan articulation.</t>
        </is>
      </c>
      <c r="J644" s="3" t="inlineStr">
        <is>
          <t>Clarify escalation criteria and communicate proactively.</t>
        </is>
      </c>
      <c r="K644" t="n">
        <v>0</v>
      </c>
    </row>
    <row r="645">
      <c r="A645" t="inlineStr">
        <is>
          <t>L024</t>
        </is>
      </c>
      <c r="B645" s="6" t="n">
        <v>45982</v>
      </c>
      <c r="C645" t="inlineStr">
        <is>
          <t>EPA09</t>
        </is>
      </c>
      <c r="D645" t="n">
        <v>5</v>
      </c>
      <c r="E645" t="inlineStr">
        <is>
          <t>A013</t>
        </is>
      </c>
      <c r="F645" t="inlineStr">
        <is>
          <t>Nurse</t>
        </is>
      </c>
      <c r="G645" t="inlineStr">
        <is>
          <t>ICU</t>
        </is>
      </c>
      <c r="H645" t="inlineStr">
        <is>
          <t>CaseE</t>
        </is>
      </c>
      <c r="I645" s="3" t="inlineStr">
        <is>
          <t>Professional and patient-centered approach.</t>
        </is>
      </c>
      <c r="J645" s="3" t="inlineStr">
        <is>
          <t>Increase efficiency while maintaining safety checks.</t>
        </is>
      </c>
      <c r="K645" t="n">
        <v>0</v>
      </c>
    </row>
    <row r="646">
      <c r="A646" t="inlineStr">
        <is>
          <t>L006</t>
        </is>
      </c>
      <c r="B646" s="6" t="n">
        <v>45937</v>
      </c>
      <c r="C646" t="inlineStr">
        <is>
          <t>EPA03</t>
        </is>
      </c>
      <c r="D646" t="n">
        <v>4</v>
      </c>
      <c r="E646" t="inlineStr">
        <is>
          <t>A014</t>
        </is>
      </c>
      <c r="F646" t="inlineStr">
        <is>
          <t>Faculty</t>
        </is>
      </c>
      <c r="G646" t="inlineStr">
        <is>
          <t>Ward</t>
        </is>
      </c>
      <c r="H646" t="inlineStr">
        <is>
          <t>CaseC</t>
        </is>
      </c>
      <c r="I646" s="3" t="inlineStr">
        <is>
          <t>Appropriate prioritization and plan articulation.</t>
        </is>
      </c>
      <c r="J646" s="3" t="n"/>
      <c r="K646" t="n">
        <v>0</v>
      </c>
    </row>
    <row r="647">
      <c r="A647" t="inlineStr">
        <is>
          <t>L002</t>
        </is>
      </c>
      <c r="B647" s="6" t="n">
        <v>45955</v>
      </c>
      <c r="C647" t="inlineStr">
        <is>
          <t>EPA08</t>
        </is>
      </c>
      <c r="D647" t="n">
        <v>4</v>
      </c>
      <c r="E647" t="inlineStr">
        <is>
          <t>A002</t>
        </is>
      </c>
      <c r="F647" t="inlineStr">
        <is>
          <t>Faculty</t>
        </is>
      </c>
      <c r="G647" t="inlineStr">
        <is>
          <t>Sim</t>
        </is>
      </c>
      <c r="H647" t="inlineStr">
        <is>
          <t>CaseF</t>
        </is>
      </c>
      <c r="I647" s="3" t="n"/>
      <c r="J647" s="3" t="n"/>
      <c r="K647" t="n">
        <v>0</v>
      </c>
    </row>
    <row r="648">
      <c r="A648" t="inlineStr">
        <is>
          <t>L005</t>
        </is>
      </c>
      <c r="B648" s="6" t="n">
        <v>45946</v>
      </c>
      <c r="C648" t="inlineStr">
        <is>
          <t>EPA06</t>
        </is>
      </c>
      <c r="D648" t="n">
        <v>2</v>
      </c>
      <c r="E648" t="inlineStr">
        <is>
          <t>A006</t>
        </is>
      </c>
      <c r="F648" t="inlineStr">
        <is>
          <t>Faculty</t>
        </is>
      </c>
      <c r="G648" t="inlineStr">
        <is>
          <t>ED</t>
        </is>
      </c>
      <c r="H648" t="inlineStr">
        <is>
          <t>CaseD</t>
        </is>
      </c>
      <c r="I648" s="3" t="inlineStr">
        <is>
          <t>Professional and patient-centered approach.</t>
        </is>
      </c>
      <c r="J648" s="3" t="inlineStr">
        <is>
          <t>Increase efficiency while maintaining safety checks.</t>
        </is>
      </c>
      <c r="K648" t="n">
        <v>0</v>
      </c>
    </row>
    <row r="649">
      <c r="A649" t="inlineStr">
        <is>
          <t>L010</t>
        </is>
      </c>
      <c r="B649" s="6" t="n">
        <v>45918</v>
      </c>
      <c r="C649" t="inlineStr">
        <is>
          <t>EPA03</t>
        </is>
      </c>
      <c r="D649" t="n">
        <v>5</v>
      </c>
      <c r="E649" t="inlineStr">
        <is>
          <t>A011</t>
        </is>
      </c>
      <c r="F649" t="inlineStr">
        <is>
          <t>Nurse</t>
        </is>
      </c>
      <c r="G649" t="inlineStr">
        <is>
          <t>Ward</t>
        </is>
      </c>
      <c r="H649" t="inlineStr">
        <is>
          <t>CaseA</t>
        </is>
      </c>
      <c r="I649" s="3" t="inlineStr">
        <is>
          <t>Effective teamwork and closed-loop communication.</t>
        </is>
      </c>
      <c r="J649" s="3" t="inlineStr">
        <is>
          <t>Document key times and decisions more clearly.</t>
        </is>
      </c>
      <c r="K649" t="n">
        <v>0</v>
      </c>
    </row>
    <row r="650">
      <c r="A650" t="inlineStr">
        <is>
          <t>L010</t>
        </is>
      </c>
      <c r="B650" s="6" t="n">
        <v>46070</v>
      </c>
      <c r="C650" t="inlineStr">
        <is>
          <t>EPA01</t>
        </is>
      </c>
      <c r="D650" t="n">
        <v>4</v>
      </c>
      <c r="E650" t="inlineStr">
        <is>
          <t>A007</t>
        </is>
      </c>
      <c r="F650" t="inlineStr">
        <is>
          <t>Faculty</t>
        </is>
      </c>
      <c r="G650" t="inlineStr">
        <is>
          <t>Ward</t>
        </is>
      </c>
      <c r="H650" t="inlineStr">
        <is>
          <t>CaseG</t>
        </is>
      </c>
      <c r="I650" s="3" t="inlineStr">
        <is>
          <t>Effective teamwork and closed-loop communication.</t>
        </is>
      </c>
      <c r="J650" s="3" t="n"/>
      <c r="K650" t="n">
        <v>0</v>
      </c>
    </row>
    <row r="651">
      <c r="A651" t="inlineStr">
        <is>
          <t>L021</t>
        </is>
      </c>
      <c r="B651" s="6" t="n">
        <v>45976</v>
      </c>
      <c r="C651" t="inlineStr">
        <is>
          <t>EPA04</t>
        </is>
      </c>
      <c r="D651" t="n">
        <v>5</v>
      </c>
      <c r="E651" t="inlineStr">
        <is>
          <t>A002</t>
        </is>
      </c>
      <c r="F651" t="inlineStr">
        <is>
          <t>Faculty</t>
        </is>
      </c>
      <c r="G651" t="inlineStr">
        <is>
          <t>OR</t>
        </is>
      </c>
      <c r="H651" t="inlineStr">
        <is>
          <t>CaseD</t>
        </is>
      </c>
      <c r="I651" s="3" t="inlineStr">
        <is>
          <t>Good clinical reasoning with key findings identified.</t>
        </is>
      </c>
      <c r="J651" s="3" t="inlineStr">
        <is>
          <t>Broaden the differential diagnosis and justify choices.</t>
        </is>
      </c>
      <c r="K651" t="n">
        <v>0</v>
      </c>
    </row>
    <row r="652">
      <c r="B652" s="6" t="n"/>
      <c r="I652" s="3" t="n"/>
      <c r="J652" s="3" t="n"/>
    </row>
    <row r="653">
      <c r="B653" s="6" t="n"/>
      <c r="I653" s="3" t="n"/>
      <c r="J653" s="3" t="n"/>
    </row>
    <row r="654">
      <c r="B654" s="6" t="n"/>
      <c r="I654" s="3" t="n"/>
      <c r="J654" s="3" t="n"/>
    </row>
    <row r="655">
      <c r="B655" s="6" t="n"/>
      <c r="I655" s="3" t="n"/>
      <c r="J655" s="3" t="n"/>
    </row>
    <row r="656">
      <c r="B656" s="6" t="n"/>
      <c r="I656" s="3" t="n"/>
      <c r="J656" s="3" t="n"/>
    </row>
    <row r="657">
      <c r="B657" s="6" t="n"/>
      <c r="I657" s="3" t="n"/>
      <c r="J657" s="3" t="n"/>
    </row>
    <row r="658">
      <c r="B658" s="6" t="n"/>
      <c r="I658" s="3" t="n"/>
      <c r="J658" s="3" t="n"/>
    </row>
    <row r="659">
      <c r="B659" s="6" t="n"/>
      <c r="I659" s="3" t="n"/>
      <c r="J659" s="3" t="n"/>
    </row>
    <row r="660">
      <c r="B660" s="6" t="n"/>
      <c r="I660" s="3" t="n"/>
      <c r="J660" s="3" t="n"/>
    </row>
    <row r="661">
      <c r="B661" s="6" t="n"/>
      <c r="I661" s="3" t="n"/>
      <c r="J661" s="3" t="n"/>
    </row>
    <row r="662">
      <c r="B662" s="6" t="n"/>
      <c r="I662" s="3" t="n"/>
      <c r="J662" s="3" t="n"/>
    </row>
    <row r="663">
      <c r="B663" s="6" t="n"/>
      <c r="I663" s="3" t="n"/>
      <c r="J663" s="3" t="n"/>
    </row>
    <row r="664">
      <c r="B664" s="6" t="n"/>
      <c r="I664" s="3" t="n"/>
      <c r="J664" s="3" t="n"/>
    </row>
    <row r="665">
      <c r="B665" s="6" t="n"/>
      <c r="I665" s="3" t="n"/>
      <c r="J665" s="3" t="n"/>
    </row>
    <row r="666">
      <c r="B666" s="6" t="n"/>
      <c r="I666" s="3" t="n"/>
      <c r="J666" s="3" t="n"/>
    </row>
    <row r="667">
      <c r="B667" s="6" t="n"/>
      <c r="I667" s="3" t="n"/>
      <c r="J667" s="3" t="n"/>
    </row>
    <row r="668">
      <c r="B668" s="6" t="n"/>
      <c r="I668" s="3" t="n"/>
      <c r="J668" s="3" t="n"/>
    </row>
    <row r="669">
      <c r="B669" s="6" t="n"/>
      <c r="I669" s="3" t="n"/>
      <c r="J669" s="3" t="n"/>
    </row>
    <row r="670">
      <c r="B670" s="6" t="n"/>
      <c r="I670" s="3" t="n"/>
      <c r="J670" s="3" t="n"/>
    </row>
    <row r="671">
      <c r="B671" s="6" t="n"/>
      <c r="I671" s="3" t="n"/>
      <c r="J671" s="3" t="n"/>
    </row>
    <row r="672">
      <c r="B672" s="6" t="n"/>
      <c r="I672" s="3" t="n"/>
      <c r="J672" s="3" t="n"/>
    </row>
    <row r="673">
      <c r="B673" s="6" t="n"/>
      <c r="I673" s="3" t="n"/>
      <c r="J673" s="3" t="n"/>
    </row>
    <row r="674">
      <c r="B674" s="6" t="n"/>
      <c r="I674" s="3" t="n"/>
      <c r="J674" s="3" t="n"/>
    </row>
    <row r="675">
      <c r="B675" s="6" t="n"/>
      <c r="I675" s="3" t="n"/>
      <c r="J675" s="3" t="n"/>
    </row>
    <row r="676">
      <c r="B676" s="6" t="n"/>
      <c r="I676" s="3" t="n"/>
      <c r="J676" s="3" t="n"/>
    </row>
    <row r="677">
      <c r="B677" s="6" t="n"/>
      <c r="I677" s="3" t="n"/>
      <c r="J677" s="3" t="n"/>
    </row>
    <row r="678">
      <c r="B678" s="6" t="n"/>
      <c r="I678" s="3" t="n"/>
      <c r="J678" s="3" t="n"/>
    </row>
    <row r="679">
      <c r="B679" s="6" t="n"/>
      <c r="I679" s="3" t="n"/>
      <c r="J679" s="3" t="n"/>
    </row>
    <row r="680">
      <c r="B680" s="6" t="n"/>
      <c r="I680" s="3" t="n"/>
      <c r="J680" s="3" t="n"/>
    </row>
    <row r="681">
      <c r="B681" s="6" t="n"/>
      <c r="I681" s="3" t="n"/>
      <c r="J681" s="3" t="n"/>
    </row>
    <row r="682">
      <c r="B682" s="6" t="n"/>
      <c r="I682" s="3" t="n"/>
      <c r="J682" s="3" t="n"/>
    </row>
    <row r="683">
      <c r="B683" s="6" t="n"/>
      <c r="I683" s="3" t="n"/>
      <c r="J683" s="3" t="n"/>
    </row>
    <row r="684">
      <c r="B684" s="6" t="n"/>
      <c r="I684" s="3" t="n"/>
      <c r="J684" s="3" t="n"/>
    </row>
    <row r="685">
      <c r="B685" s="6" t="n"/>
      <c r="I685" s="3" t="n"/>
      <c r="J685" s="3" t="n"/>
    </row>
    <row r="686">
      <c r="B686" s="6" t="n"/>
      <c r="I686" s="3" t="n"/>
      <c r="J686" s="3" t="n"/>
    </row>
    <row r="687">
      <c r="B687" s="6" t="n"/>
      <c r="I687" s="3" t="n"/>
      <c r="J687" s="3" t="n"/>
    </row>
    <row r="688">
      <c r="B688" s="6" t="n"/>
      <c r="I688" s="3" t="n"/>
      <c r="J688" s="3" t="n"/>
    </row>
    <row r="689">
      <c r="B689" s="6" t="n"/>
      <c r="I689" s="3" t="n"/>
      <c r="J689" s="3" t="n"/>
    </row>
    <row r="690">
      <c r="B690" s="6" t="n"/>
      <c r="I690" s="3" t="n"/>
      <c r="J690" s="3" t="n"/>
    </row>
    <row r="691">
      <c r="B691" s="6" t="n"/>
      <c r="I691" s="3" t="n"/>
      <c r="J691" s="3" t="n"/>
    </row>
    <row r="692">
      <c r="B692" s="6" t="n"/>
      <c r="I692" s="3" t="n"/>
      <c r="J692" s="3" t="n"/>
    </row>
    <row r="693">
      <c r="B693" s="6" t="n"/>
      <c r="I693" s="3" t="n"/>
      <c r="J693" s="3" t="n"/>
    </row>
    <row r="694">
      <c r="B694" s="6" t="n"/>
      <c r="I694" s="3" t="n"/>
      <c r="J694" s="3" t="n"/>
    </row>
    <row r="695">
      <c r="B695" s="6" t="n"/>
      <c r="I695" s="3" t="n"/>
      <c r="J695" s="3" t="n"/>
    </row>
    <row r="696">
      <c r="B696" s="6" t="n"/>
      <c r="I696" s="3" t="n"/>
      <c r="J696" s="3" t="n"/>
    </row>
    <row r="697">
      <c r="B697" s="6" t="n"/>
      <c r="I697" s="3" t="n"/>
      <c r="J697" s="3" t="n"/>
    </row>
    <row r="698">
      <c r="B698" s="6" t="n"/>
      <c r="I698" s="3" t="n"/>
      <c r="J698" s="3" t="n"/>
    </row>
    <row r="699">
      <c r="B699" s="6" t="n"/>
      <c r="I699" s="3" t="n"/>
      <c r="J699" s="3" t="n"/>
    </row>
    <row r="700">
      <c r="B700" s="6" t="n"/>
      <c r="I700" s="3" t="n"/>
      <c r="J700" s="3" t="n"/>
    </row>
    <row r="701">
      <c r="B701" s="6" t="n"/>
      <c r="I701" s="3" t="n"/>
      <c r="J701" s="3" t="n"/>
    </row>
  </sheetData>
  <dataValidations count="4">
    <dataValidation sqref="F2:F701" showDropDown="0" showInputMessage="0" showErrorMessage="0" allowBlank="1" type="list">
      <formula1>"Faculty,SeniorResident,Nurse,AlliedHealth,Other"</formula1>
    </dataValidation>
    <dataValidation sqref="G2:G701" showDropDown="0" showInputMessage="0" showErrorMessage="0" allowBlank="1" type="list">
      <formula1>"OPD,Ward,OR,ED,ICU,Sim,Other"</formula1>
    </dataValidation>
    <dataValidation sqref="K2:K701" showDropDown="0" showInputMessage="0" showErrorMessage="0" allowBlank="1" type="list">
      <formula1>"0,1"</formula1>
    </dataValidation>
    <dataValidation sqref="D2:D7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Learner_ID</t>
        </is>
      </c>
      <c r="B1" s="5" t="inlineStr">
        <is>
          <t>Stage</t>
        </is>
      </c>
      <c r="C1" s="5" t="inlineStr">
        <is>
          <t>Rotation</t>
        </is>
      </c>
      <c r="D1" s="5" t="inlineStr">
        <is>
          <t>Coach</t>
        </is>
      </c>
    </row>
    <row r="2">
      <c r="A2" t="inlineStr">
        <is>
          <t>L001</t>
        </is>
      </c>
      <c r="B2" t="inlineStr">
        <is>
          <t>PGY3+</t>
        </is>
      </c>
      <c r="C2" t="inlineStr">
        <is>
          <t>ED</t>
        </is>
      </c>
      <c r="D2" t="inlineStr">
        <is>
          <t>C004</t>
        </is>
      </c>
    </row>
  </sheetData>
  <dataValidations count="1">
    <dataValidation sqref="B2:B61" showDropDown="0" showInputMessage="0" showErrorMessage="0" allowBlank="1" type="list">
      <formula1>"PGY1,PGY2,PGY3+"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25" customWidth="1" min="6" max="6"/>
  </cols>
  <sheetData>
    <row r="1">
      <c r="A1" s="5" t="inlineStr">
        <is>
          <t>EPA_ID</t>
        </is>
      </c>
      <c r="B1" s="5" t="inlineStr">
        <is>
          <t>EPA_Title</t>
        </is>
      </c>
      <c r="C1" s="5" t="inlineStr">
        <is>
          <t>Domain</t>
        </is>
      </c>
      <c r="D1" s="5" t="inlineStr">
        <is>
          <t>Expected_Level_PGY1</t>
        </is>
      </c>
      <c r="E1" s="5" t="inlineStr">
        <is>
          <t>Expected_Level_PGY2</t>
        </is>
      </c>
      <c r="F1" s="5" t="inlineStr">
        <is>
          <t>Expected_Level_PGY3plus</t>
        </is>
      </c>
    </row>
    <row r="2">
      <c r="A2" t="inlineStr">
        <is>
          <t>EPA01</t>
        </is>
      </c>
      <c r="B2" t="inlineStr">
        <is>
          <t>Handover &amp; communication</t>
        </is>
      </c>
      <c r="C2" t="inlineStr">
        <is>
          <t>Interprofessional</t>
        </is>
      </c>
      <c r="D2" t="n">
        <v>3</v>
      </c>
      <c r="E2" t="n">
        <v>4</v>
      </c>
      <c r="F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5" t="inlineStr">
        <is>
          <t>Learner_ID</t>
        </is>
      </c>
      <c r="B1" s="5" t="inlineStr">
        <is>
          <t>Stage</t>
        </is>
      </c>
      <c r="C1" s="5" t="inlineStr">
        <is>
          <t>Rotation</t>
        </is>
      </c>
      <c r="D1" s="5" t="inlineStr">
        <is>
          <t>Total_Obs</t>
        </is>
      </c>
      <c r="E1" s="5" t="inlineStr">
        <is>
          <t>EPAs_Observed</t>
        </is>
      </c>
      <c r="F1" s="5" t="inlineStr">
        <is>
          <t>Flags</t>
        </is>
      </c>
      <c r="G1" s="5" t="inlineStr">
        <is>
          <t>Obs_Last_56d</t>
        </is>
      </c>
      <c r="H1" s="5" t="inlineStr">
        <is>
          <t>Narrative_Rate</t>
        </is>
      </c>
      <c r="I1" s="5" t="inlineStr">
        <is>
          <t>Status</t>
        </is>
      </c>
    </row>
    <row r="2">
      <c r="A2">
        <f>IFERROR(INDEX(tblLearners[Learner_ID],ROW()-1),"")</f>
        <v/>
      </c>
      <c r="B2">
        <f>IF(A2="","",XLOOKUP(A2,tblLearners[Learner_ID],tblLearners[Stage],""))</f>
        <v/>
      </c>
      <c r="C2">
        <f>IF(A2="","",XLOOKUP(A2,tblLearners[Learner_ID],tblLearners[Rotation],""))</f>
        <v/>
      </c>
      <c r="D2">
        <f>IF(A2="",0,COUNTIF(tblObs[Learner_ID],A2))</f>
        <v/>
      </c>
      <c r="E2">
        <f>IF(A2="",0,COUNTA(UNIQUE(FILTER(tblObs[EPA_ID],tblObs[Learner_ID]=A2))))</f>
        <v/>
      </c>
      <c r="F2">
        <f>IF(A2="",0,COUNTIFS(tblObs[Learner_ID],A2,tblObs[Flag],1))</f>
        <v/>
      </c>
      <c r="G2">
        <f>IF(A2="",0,COUNTIFS(tblObs[Learner_ID],A2,tblObs[Date],"&gt;="&amp;TODAY()-56))</f>
        <v/>
      </c>
      <c r="H2">
        <f>IF(A2="",0,LET(t,COUNTIF(tblObs[Learner_ID],A2),w,COUNTIFS(tblObs[Learner_ID],A2,tblObs[Narrative_Positive],"&lt;&gt;")+COUNTIFS(tblObs[Learner_ID],A2,tblObs[Narrative_Improve],"&lt;&gt;"),IF(t=0,0,MIN(1,w/t))))</f>
        <v/>
      </c>
      <c r="I2">
        <f>IF(A2="","",IF(F2&gt;0,"Red",IF(G2&lt;2,"Data action",IF(E2&lt;6,"Amber","Green"))))</f>
        <v/>
      </c>
    </row>
    <row r="3">
      <c r="A3">
        <f>IFERROR(INDEX(tblLearners[Learner_ID],ROW()-1),"")</f>
        <v/>
      </c>
      <c r="B3">
        <f>IF(A3="","",XLOOKUP(A3,tblLearners[Learner_ID],tblLearners[Stage],""))</f>
        <v/>
      </c>
      <c r="C3">
        <f>IF(A3="","",XLOOKUP(A3,tblLearners[Learner_ID],tblLearners[Rotation],""))</f>
        <v/>
      </c>
      <c r="D3">
        <f>IF(A3="",0,COUNTIF(tblObs[Learner_ID],A3))</f>
        <v/>
      </c>
      <c r="E3">
        <f>IF(A3="",0,COUNTA(UNIQUE(FILTER(tblObs[EPA_ID],tblObs[Learner_ID]=A3))))</f>
        <v/>
      </c>
      <c r="F3">
        <f>IF(A3="",0,COUNTIFS(tblObs[Learner_ID],A3,tblObs[Flag],1))</f>
        <v/>
      </c>
      <c r="G3">
        <f>IF(A3="",0,COUNTIFS(tblObs[Learner_ID],A3,tblObs[Date],"&gt;="&amp;TODAY()-56))</f>
        <v/>
      </c>
      <c r="H3">
        <f>IF(A3="",0,LET(t,COUNTIF(tblObs[Learner_ID],A3),w,COUNTIFS(tblObs[Learner_ID],A3,tblObs[Narrative_Positive],"&lt;&gt;")+COUNTIFS(tblObs[Learner_ID],A3,tblObs[Narrative_Improve],"&lt;&gt;"),IF(t=0,0,MIN(1,w/t))))</f>
        <v/>
      </c>
      <c r="I3">
        <f>IF(A3="","",IF(F3&gt;0,"Red",IF(G3&lt;2,"Data action",IF(E3&lt;6,"Amber","Green"))))</f>
        <v/>
      </c>
    </row>
    <row r="4">
      <c r="A4">
        <f>IFERROR(INDEX(tblLearners[Learner_ID],ROW()-1),"")</f>
        <v/>
      </c>
      <c r="B4">
        <f>IF(A4="","",XLOOKUP(A4,tblLearners[Learner_ID],tblLearners[Stage],""))</f>
        <v/>
      </c>
      <c r="C4">
        <f>IF(A4="","",XLOOKUP(A4,tblLearners[Learner_ID],tblLearners[Rotation],""))</f>
        <v/>
      </c>
      <c r="D4">
        <f>IF(A4="",0,COUNTIF(tblObs[Learner_ID],A4))</f>
        <v/>
      </c>
      <c r="E4">
        <f>IF(A4="",0,COUNTA(UNIQUE(FILTER(tblObs[EPA_ID],tblObs[Learner_ID]=A4))))</f>
        <v/>
      </c>
      <c r="F4">
        <f>IF(A4="",0,COUNTIFS(tblObs[Learner_ID],A4,tblObs[Flag],1))</f>
        <v/>
      </c>
      <c r="G4">
        <f>IF(A4="",0,COUNTIFS(tblObs[Learner_ID],A4,tblObs[Date],"&gt;="&amp;TODAY()-56))</f>
        <v/>
      </c>
      <c r="H4">
        <f>IF(A4="",0,LET(t,COUNTIF(tblObs[Learner_ID],A4),w,COUNTIFS(tblObs[Learner_ID],A4,tblObs[Narrative_Positive],"&lt;&gt;")+COUNTIFS(tblObs[Learner_ID],A4,tblObs[Narrative_Improve],"&lt;&gt;"),IF(t=0,0,MIN(1,w/t))))</f>
        <v/>
      </c>
      <c r="I4">
        <f>IF(A4="","",IF(F4&gt;0,"Red",IF(G4&lt;2,"Data action",IF(E4&lt;6,"Amber","Green"))))</f>
        <v/>
      </c>
    </row>
    <row r="5">
      <c r="A5">
        <f>IFERROR(INDEX(tblLearners[Learner_ID],ROW()-1),"")</f>
        <v/>
      </c>
      <c r="B5">
        <f>IF(A5="","",XLOOKUP(A5,tblLearners[Learner_ID],tblLearners[Stage],""))</f>
        <v/>
      </c>
      <c r="C5">
        <f>IF(A5="","",XLOOKUP(A5,tblLearners[Learner_ID],tblLearners[Rotation],""))</f>
        <v/>
      </c>
      <c r="D5">
        <f>IF(A5="",0,COUNTIF(tblObs[Learner_ID],A5))</f>
        <v/>
      </c>
      <c r="E5">
        <f>IF(A5="",0,COUNTA(UNIQUE(FILTER(tblObs[EPA_ID],tblObs[Learner_ID]=A5))))</f>
        <v/>
      </c>
      <c r="F5">
        <f>IF(A5="",0,COUNTIFS(tblObs[Learner_ID],A5,tblObs[Flag],1))</f>
        <v/>
      </c>
      <c r="G5">
        <f>IF(A5="",0,COUNTIFS(tblObs[Learner_ID],A5,tblObs[Date],"&gt;="&amp;TODAY()-56))</f>
        <v/>
      </c>
      <c r="H5">
        <f>IF(A5="",0,LET(t,COUNTIF(tblObs[Learner_ID],A5),w,COUNTIFS(tblObs[Learner_ID],A5,tblObs[Narrative_Positive],"&lt;&gt;")+COUNTIFS(tblObs[Learner_ID],A5,tblObs[Narrative_Improve],"&lt;&gt;"),IF(t=0,0,MIN(1,w/t))))</f>
        <v/>
      </c>
      <c r="I5">
        <f>IF(A5="","",IF(F5&gt;0,"Red",IF(G5&lt;2,"Data action",IF(E5&lt;6,"Amber","Green"))))</f>
        <v/>
      </c>
    </row>
    <row r="6">
      <c r="A6">
        <f>IFERROR(INDEX(tblLearners[Learner_ID],ROW()-1),"")</f>
        <v/>
      </c>
      <c r="B6">
        <f>IF(A6="","",XLOOKUP(A6,tblLearners[Learner_ID],tblLearners[Stage],""))</f>
        <v/>
      </c>
      <c r="C6">
        <f>IF(A6="","",XLOOKUP(A6,tblLearners[Learner_ID],tblLearners[Rotation],""))</f>
        <v/>
      </c>
      <c r="D6">
        <f>IF(A6="",0,COUNTIF(tblObs[Learner_ID],A6))</f>
        <v/>
      </c>
      <c r="E6">
        <f>IF(A6="",0,COUNTA(UNIQUE(FILTER(tblObs[EPA_ID],tblObs[Learner_ID]=A6))))</f>
        <v/>
      </c>
      <c r="F6">
        <f>IF(A6="",0,COUNTIFS(tblObs[Learner_ID],A6,tblObs[Flag],1))</f>
        <v/>
      </c>
      <c r="G6">
        <f>IF(A6="",0,COUNTIFS(tblObs[Learner_ID],A6,tblObs[Date],"&gt;="&amp;TODAY()-56))</f>
        <v/>
      </c>
      <c r="H6">
        <f>IF(A6="",0,LET(t,COUNTIF(tblObs[Learner_ID],A6),w,COUNTIFS(tblObs[Learner_ID],A6,tblObs[Narrative_Positive],"&lt;&gt;")+COUNTIFS(tblObs[Learner_ID],A6,tblObs[Narrative_Improve],"&lt;&gt;"),IF(t=0,0,MIN(1,w/t))))</f>
        <v/>
      </c>
      <c r="I6">
        <f>IF(A6="","",IF(F6&gt;0,"Red",IF(G6&lt;2,"Data action",IF(E6&lt;6,"Amber","Green"))))</f>
        <v/>
      </c>
    </row>
    <row r="7">
      <c r="A7">
        <f>IFERROR(INDEX(tblLearners[Learner_ID],ROW()-1),"")</f>
        <v/>
      </c>
      <c r="B7">
        <f>IF(A7="","",XLOOKUP(A7,tblLearners[Learner_ID],tblLearners[Stage],""))</f>
        <v/>
      </c>
      <c r="C7">
        <f>IF(A7="","",XLOOKUP(A7,tblLearners[Learner_ID],tblLearners[Rotation],""))</f>
        <v/>
      </c>
      <c r="D7">
        <f>IF(A7="",0,COUNTIF(tblObs[Learner_ID],A7))</f>
        <v/>
      </c>
      <c r="E7">
        <f>IF(A7="",0,COUNTA(UNIQUE(FILTER(tblObs[EPA_ID],tblObs[Learner_ID]=A7))))</f>
        <v/>
      </c>
      <c r="F7">
        <f>IF(A7="",0,COUNTIFS(tblObs[Learner_ID],A7,tblObs[Flag],1))</f>
        <v/>
      </c>
      <c r="G7">
        <f>IF(A7="",0,COUNTIFS(tblObs[Learner_ID],A7,tblObs[Date],"&gt;="&amp;TODAY()-56))</f>
        <v/>
      </c>
      <c r="H7">
        <f>IF(A7="",0,LET(t,COUNTIF(tblObs[Learner_ID],A7),w,COUNTIFS(tblObs[Learner_ID],A7,tblObs[Narrative_Positive],"&lt;&gt;")+COUNTIFS(tblObs[Learner_ID],A7,tblObs[Narrative_Improve],"&lt;&gt;"),IF(t=0,0,MIN(1,w/t))))</f>
        <v/>
      </c>
      <c r="I7">
        <f>IF(A7="","",IF(F7&gt;0,"Red",IF(G7&lt;2,"Data action",IF(E7&lt;6,"Amber","Green"))))</f>
        <v/>
      </c>
    </row>
    <row r="8">
      <c r="A8">
        <f>IFERROR(INDEX(tblLearners[Learner_ID],ROW()-1),"")</f>
        <v/>
      </c>
      <c r="B8">
        <f>IF(A8="","",XLOOKUP(A8,tblLearners[Learner_ID],tblLearners[Stage],""))</f>
        <v/>
      </c>
      <c r="C8">
        <f>IF(A8="","",XLOOKUP(A8,tblLearners[Learner_ID],tblLearners[Rotation],""))</f>
        <v/>
      </c>
      <c r="D8">
        <f>IF(A8="",0,COUNTIF(tblObs[Learner_ID],A8))</f>
        <v/>
      </c>
      <c r="E8">
        <f>IF(A8="",0,COUNTA(UNIQUE(FILTER(tblObs[EPA_ID],tblObs[Learner_ID]=A8))))</f>
        <v/>
      </c>
      <c r="F8">
        <f>IF(A8="",0,COUNTIFS(tblObs[Learner_ID],A8,tblObs[Flag],1))</f>
        <v/>
      </c>
      <c r="G8">
        <f>IF(A8="",0,COUNTIFS(tblObs[Learner_ID],A8,tblObs[Date],"&gt;="&amp;TODAY()-56))</f>
        <v/>
      </c>
      <c r="H8">
        <f>IF(A8="",0,LET(t,COUNTIF(tblObs[Learner_ID],A8),w,COUNTIFS(tblObs[Learner_ID],A8,tblObs[Narrative_Positive],"&lt;&gt;")+COUNTIFS(tblObs[Learner_ID],A8,tblObs[Narrative_Improve],"&lt;&gt;"),IF(t=0,0,MIN(1,w/t))))</f>
        <v/>
      </c>
      <c r="I8">
        <f>IF(A8="","",IF(F8&gt;0,"Red",IF(G8&lt;2,"Data action",IF(E8&lt;6,"Amber","Green"))))</f>
        <v/>
      </c>
    </row>
    <row r="9">
      <c r="A9">
        <f>IFERROR(INDEX(tblLearners[Learner_ID],ROW()-1),"")</f>
        <v/>
      </c>
      <c r="B9">
        <f>IF(A9="","",XLOOKUP(A9,tblLearners[Learner_ID],tblLearners[Stage],""))</f>
        <v/>
      </c>
      <c r="C9">
        <f>IF(A9="","",XLOOKUP(A9,tblLearners[Learner_ID],tblLearners[Rotation],""))</f>
        <v/>
      </c>
      <c r="D9">
        <f>IF(A9="",0,COUNTIF(tblObs[Learner_ID],A9))</f>
        <v/>
      </c>
      <c r="E9">
        <f>IF(A9="",0,COUNTA(UNIQUE(FILTER(tblObs[EPA_ID],tblObs[Learner_ID]=A9))))</f>
        <v/>
      </c>
      <c r="F9">
        <f>IF(A9="",0,COUNTIFS(tblObs[Learner_ID],A9,tblObs[Flag],1))</f>
        <v/>
      </c>
      <c r="G9">
        <f>IF(A9="",0,COUNTIFS(tblObs[Learner_ID],A9,tblObs[Date],"&gt;="&amp;TODAY()-56))</f>
        <v/>
      </c>
      <c r="H9">
        <f>IF(A9="",0,LET(t,COUNTIF(tblObs[Learner_ID],A9),w,COUNTIFS(tblObs[Learner_ID],A9,tblObs[Narrative_Positive],"&lt;&gt;")+COUNTIFS(tblObs[Learner_ID],A9,tblObs[Narrative_Improve],"&lt;&gt;"),IF(t=0,0,MIN(1,w/t))))</f>
        <v/>
      </c>
      <c r="I9">
        <f>IF(A9="","",IF(F9&gt;0,"Red",IF(G9&lt;2,"Data action",IF(E9&lt;6,"Amber","Green"))))</f>
        <v/>
      </c>
    </row>
    <row r="10">
      <c r="A10">
        <f>IFERROR(INDEX(tblLearners[Learner_ID],ROW()-1),"")</f>
        <v/>
      </c>
      <c r="B10">
        <f>IF(A10="","",XLOOKUP(A10,tblLearners[Learner_ID],tblLearners[Stage],""))</f>
        <v/>
      </c>
      <c r="C10">
        <f>IF(A10="","",XLOOKUP(A10,tblLearners[Learner_ID],tblLearners[Rotation],""))</f>
        <v/>
      </c>
      <c r="D10">
        <f>IF(A10="",0,COUNTIF(tblObs[Learner_ID],A10))</f>
        <v/>
      </c>
      <c r="E10">
        <f>IF(A10="",0,COUNTA(UNIQUE(FILTER(tblObs[EPA_ID],tblObs[Learner_ID]=A10))))</f>
        <v/>
      </c>
      <c r="F10">
        <f>IF(A10="",0,COUNTIFS(tblObs[Learner_ID],A10,tblObs[Flag],1))</f>
        <v/>
      </c>
      <c r="G10">
        <f>IF(A10="",0,COUNTIFS(tblObs[Learner_ID],A10,tblObs[Date],"&gt;="&amp;TODAY()-56))</f>
        <v/>
      </c>
      <c r="H10">
        <f>IF(A10="",0,LET(t,COUNTIF(tblObs[Learner_ID],A10),w,COUNTIFS(tblObs[Learner_ID],A10,tblObs[Narrative_Positive],"&lt;&gt;")+COUNTIFS(tblObs[Learner_ID],A10,tblObs[Narrative_Improve],"&lt;&gt;"),IF(t=0,0,MIN(1,w/t))))</f>
        <v/>
      </c>
      <c r="I10">
        <f>IF(A10="","",IF(F10&gt;0,"Red",IF(G10&lt;2,"Data action",IF(E10&lt;6,"Amber","Green"))))</f>
        <v/>
      </c>
    </row>
    <row r="11">
      <c r="A11">
        <f>IFERROR(INDEX(tblLearners[Learner_ID],ROW()-1),"")</f>
        <v/>
      </c>
      <c r="B11">
        <f>IF(A11="","",XLOOKUP(A11,tblLearners[Learner_ID],tblLearners[Stage],""))</f>
        <v/>
      </c>
      <c r="C11">
        <f>IF(A11="","",XLOOKUP(A11,tblLearners[Learner_ID],tblLearners[Rotation],""))</f>
        <v/>
      </c>
      <c r="D11">
        <f>IF(A11="",0,COUNTIF(tblObs[Learner_ID],A11))</f>
        <v/>
      </c>
      <c r="E11">
        <f>IF(A11="",0,COUNTA(UNIQUE(FILTER(tblObs[EPA_ID],tblObs[Learner_ID]=A11))))</f>
        <v/>
      </c>
      <c r="F11">
        <f>IF(A11="",0,COUNTIFS(tblObs[Learner_ID],A11,tblObs[Flag],1))</f>
        <v/>
      </c>
      <c r="G11">
        <f>IF(A11="",0,COUNTIFS(tblObs[Learner_ID],A11,tblObs[Date],"&gt;="&amp;TODAY()-56))</f>
        <v/>
      </c>
      <c r="H11">
        <f>IF(A11="",0,LET(t,COUNTIF(tblObs[Learner_ID],A11),w,COUNTIFS(tblObs[Learner_ID],A11,tblObs[Narrative_Positive],"&lt;&gt;")+COUNTIFS(tblObs[Learner_ID],A11,tblObs[Narrative_Improve],"&lt;&gt;"),IF(t=0,0,MIN(1,w/t))))</f>
        <v/>
      </c>
      <c r="I11">
        <f>IF(A11="","",IF(F11&gt;0,"Red",IF(G11&lt;2,"Data action",IF(E11&lt;6,"Amber","Green"))))</f>
        <v/>
      </c>
    </row>
    <row r="12">
      <c r="A12">
        <f>IFERROR(INDEX(tblLearners[Learner_ID],ROW()-1),"")</f>
        <v/>
      </c>
      <c r="B12">
        <f>IF(A12="","",XLOOKUP(A12,tblLearners[Learner_ID],tblLearners[Stage],""))</f>
        <v/>
      </c>
      <c r="C12">
        <f>IF(A12="","",XLOOKUP(A12,tblLearners[Learner_ID],tblLearners[Rotation],""))</f>
        <v/>
      </c>
      <c r="D12">
        <f>IF(A12="",0,COUNTIF(tblObs[Learner_ID],A12))</f>
        <v/>
      </c>
      <c r="E12">
        <f>IF(A12="",0,COUNTA(UNIQUE(FILTER(tblObs[EPA_ID],tblObs[Learner_ID]=A12))))</f>
        <v/>
      </c>
      <c r="F12">
        <f>IF(A12="",0,COUNTIFS(tblObs[Learner_ID],A12,tblObs[Flag],1))</f>
        <v/>
      </c>
      <c r="G12">
        <f>IF(A12="",0,COUNTIFS(tblObs[Learner_ID],A12,tblObs[Date],"&gt;="&amp;TODAY()-56))</f>
        <v/>
      </c>
      <c r="H12">
        <f>IF(A12="",0,LET(t,COUNTIF(tblObs[Learner_ID],A12),w,COUNTIFS(tblObs[Learner_ID],A12,tblObs[Narrative_Positive],"&lt;&gt;")+COUNTIFS(tblObs[Learner_ID],A12,tblObs[Narrative_Improve],"&lt;&gt;"),IF(t=0,0,MIN(1,w/t))))</f>
        <v/>
      </c>
      <c r="I12">
        <f>IF(A12="","",IF(F12&gt;0,"Red",IF(G12&lt;2,"Data action",IF(E12&lt;6,"Amber","Green"))))</f>
        <v/>
      </c>
    </row>
    <row r="13">
      <c r="A13">
        <f>IFERROR(INDEX(tblLearners[Learner_ID],ROW()-1),"")</f>
        <v/>
      </c>
      <c r="B13">
        <f>IF(A13="","",XLOOKUP(A13,tblLearners[Learner_ID],tblLearners[Stage],""))</f>
        <v/>
      </c>
      <c r="C13">
        <f>IF(A13="","",XLOOKUP(A13,tblLearners[Learner_ID],tblLearners[Rotation],""))</f>
        <v/>
      </c>
      <c r="D13">
        <f>IF(A13="",0,COUNTIF(tblObs[Learner_ID],A13))</f>
        <v/>
      </c>
      <c r="E13">
        <f>IF(A13="",0,COUNTA(UNIQUE(FILTER(tblObs[EPA_ID],tblObs[Learner_ID]=A13))))</f>
        <v/>
      </c>
      <c r="F13">
        <f>IF(A13="",0,COUNTIFS(tblObs[Learner_ID],A13,tblObs[Flag],1))</f>
        <v/>
      </c>
      <c r="G13">
        <f>IF(A13="",0,COUNTIFS(tblObs[Learner_ID],A13,tblObs[Date],"&gt;="&amp;TODAY()-56))</f>
        <v/>
      </c>
      <c r="H13">
        <f>IF(A13="",0,LET(t,COUNTIF(tblObs[Learner_ID],A13),w,COUNTIFS(tblObs[Learner_ID],A13,tblObs[Narrative_Positive],"&lt;&gt;")+COUNTIFS(tblObs[Learner_ID],A13,tblObs[Narrative_Improve],"&lt;&gt;"),IF(t=0,0,MIN(1,w/t))))</f>
        <v/>
      </c>
      <c r="I13">
        <f>IF(A13="","",IF(F13&gt;0,"Red",IF(G13&lt;2,"Data action",IF(E13&lt;6,"Amber","Green"))))</f>
        <v/>
      </c>
    </row>
    <row r="14">
      <c r="A14">
        <f>IFERROR(INDEX(tblLearners[Learner_ID],ROW()-1),"")</f>
        <v/>
      </c>
      <c r="B14">
        <f>IF(A14="","",XLOOKUP(A14,tblLearners[Learner_ID],tblLearners[Stage],""))</f>
        <v/>
      </c>
      <c r="C14">
        <f>IF(A14="","",XLOOKUP(A14,tblLearners[Learner_ID],tblLearners[Rotation],""))</f>
        <v/>
      </c>
      <c r="D14">
        <f>IF(A14="",0,COUNTIF(tblObs[Learner_ID],A14))</f>
        <v/>
      </c>
      <c r="E14">
        <f>IF(A14="",0,COUNTA(UNIQUE(FILTER(tblObs[EPA_ID],tblObs[Learner_ID]=A14))))</f>
        <v/>
      </c>
      <c r="F14">
        <f>IF(A14="",0,COUNTIFS(tblObs[Learner_ID],A14,tblObs[Flag],1))</f>
        <v/>
      </c>
      <c r="G14">
        <f>IF(A14="",0,COUNTIFS(tblObs[Learner_ID],A14,tblObs[Date],"&gt;="&amp;TODAY()-56))</f>
        <v/>
      </c>
      <c r="H14">
        <f>IF(A14="",0,LET(t,COUNTIF(tblObs[Learner_ID],A14),w,COUNTIFS(tblObs[Learner_ID],A14,tblObs[Narrative_Positive],"&lt;&gt;")+COUNTIFS(tblObs[Learner_ID],A14,tblObs[Narrative_Improve],"&lt;&gt;"),IF(t=0,0,MIN(1,w/t))))</f>
        <v/>
      </c>
      <c r="I14">
        <f>IF(A14="","",IF(F14&gt;0,"Red",IF(G14&lt;2,"Data action",IF(E14&lt;6,"Amber","Green"))))</f>
        <v/>
      </c>
    </row>
    <row r="15">
      <c r="A15">
        <f>IFERROR(INDEX(tblLearners[Learner_ID],ROW()-1),"")</f>
        <v/>
      </c>
      <c r="B15">
        <f>IF(A15="","",XLOOKUP(A15,tblLearners[Learner_ID],tblLearners[Stage],""))</f>
        <v/>
      </c>
      <c r="C15">
        <f>IF(A15="","",XLOOKUP(A15,tblLearners[Learner_ID],tblLearners[Rotation],""))</f>
        <v/>
      </c>
      <c r="D15">
        <f>IF(A15="",0,COUNTIF(tblObs[Learner_ID],A15))</f>
        <v/>
      </c>
      <c r="E15">
        <f>IF(A15="",0,COUNTA(UNIQUE(FILTER(tblObs[EPA_ID],tblObs[Learner_ID]=A15))))</f>
        <v/>
      </c>
      <c r="F15">
        <f>IF(A15="",0,COUNTIFS(tblObs[Learner_ID],A15,tblObs[Flag],1))</f>
        <v/>
      </c>
      <c r="G15">
        <f>IF(A15="",0,COUNTIFS(tblObs[Learner_ID],A15,tblObs[Date],"&gt;="&amp;TODAY()-56))</f>
        <v/>
      </c>
      <c r="H15">
        <f>IF(A15="",0,LET(t,COUNTIF(tblObs[Learner_ID],A15),w,COUNTIFS(tblObs[Learner_ID],A15,tblObs[Narrative_Positive],"&lt;&gt;")+COUNTIFS(tblObs[Learner_ID],A15,tblObs[Narrative_Improve],"&lt;&gt;"),IF(t=0,0,MIN(1,w/t))))</f>
        <v/>
      </c>
      <c r="I15">
        <f>IF(A15="","",IF(F15&gt;0,"Red",IF(G15&lt;2,"Data action",IF(E15&lt;6,"Amber","Green"))))</f>
        <v/>
      </c>
    </row>
    <row r="16">
      <c r="A16">
        <f>IFERROR(INDEX(tblLearners[Learner_ID],ROW()-1),"")</f>
        <v/>
      </c>
      <c r="B16">
        <f>IF(A16="","",XLOOKUP(A16,tblLearners[Learner_ID],tblLearners[Stage],""))</f>
        <v/>
      </c>
      <c r="C16">
        <f>IF(A16="","",XLOOKUP(A16,tblLearners[Learner_ID],tblLearners[Rotation],""))</f>
        <v/>
      </c>
      <c r="D16">
        <f>IF(A16="",0,COUNTIF(tblObs[Learner_ID],A16))</f>
        <v/>
      </c>
      <c r="E16">
        <f>IF(A16="",0,COUNTA(UNIQUE(FILTER(tblObs[EPA_ID],tblObs[Learner_ID]=A16))))</f>
        <v/>
      </c>
      <c r="F16">
        <f>IF(A16="",0,COUNTIFS(tblObs[Learner_ID],A16,tblObs[Flag],1))</f>
        <v/>
      </c>
      <c r="G16">
        <f>IF(A16="",0,COUNTIFS(tblObs[Learner_ID],A16,tblObs[Date],"&gt;="&amp;TODAY()-56))</f>
        <v/>
      </c>
      <c r="H16">
        <f>IF(A16="",0,LET(t,COUNTIF(tblObs[Learner_ID],A16),w,COUNTIFS(tblObs[Learner_ID],A16,tblObs[Narrative_Positive],"&lt;&gt;")+COUNTIFS(tblObs[Learner_ID],A16,tblObs[Narrative_Improve],"&lt;&gt;"),IF(t=0,0,MIN(1,w/t))))</f>
        <v/>
      </c>
      <c r="I16">
        <f>IF(A16="","",IF(F16&gt;0,"Red",IF(G16&lt;2,"Data action",IF(E16&lt;6,"Amber","Green"))))</f>
        <v/>
      </c>
    </row>
    <row r="17">
      <c r="A17">
        <f>IFERROR(INDEX(tblLearners[Learner_ID],ROW()-1),"")</f>
        <v/>
      </c>
      <c r="B17">
        <f>IF(A17="","",XLOOKUP(A17,tblLearners[Learner_ID],tblLearners[Stage],""))</f>
        <v/>
      </c>
      <c r="C17">
        <f>IF(A17="","",XLOOKUP(A17,tblLearners[Learner_ID],tblLearners[Rotation],""))</f>
        <v/>
      </c>
      <c r="D17">
        <f>IF(A17="",0,COUNTIF(tblObs[Learner_ID],A17))</f>
        <v/>
      </c>
      <c r="E17">
        <f>IF(A17="",0,COUNTA(UNIQUE(FILTER(tblObs[EPA_ID],tblObs[Learner_ID]=A17))))</f>
        <v/>
      </c>
      <c r="F17">
        <f>IF(A17="",0,COUNTIFS(tblObs[Learner_ID],A17,tblObs[Flag],1))</f>
        <v/>
      </c>
      <c r="G17">
        <f>IF(A17="",0,COUNTIFS(tblObs[Learner_ID],A17,tblObs[Date],"&gt;="&amp;TODAY()-56))</f>
        <v/>
      </c>
      <c r="H17">
        <f>IF(A17="",0,LET(t,COUNTIF(tblObs[Learner_ID],A17),w,COUNTIFS(tblObs[Learner_ID],A17,tblObs[Narrative_Positive],"&lt;&gt;")+COUNTIFS(tblObs[Learner_ID],A17,tblObs[Narrative_Improve],"&lt;&gt;"),IF(t=0,0,MIN(1,w/t))))</f>
        <v/>
      </c>
      <c r="I17">
        <f>IF(A17="","",IF(F17&gt;0,"Red",IF(G17&lt;2,"Data action",IF(E17&lt;6,"Amber","Green"))))</f>
        <v/>
      </c>
    </row>
    <row r="18">
      <c r="A18">
        <f>IFERROR(INDEX(tblLearners[Learner_ID],ROW()-1),"")</f>
        <v/>
      </c>
      <c r="B18">
        <f>IF(A18="","",XLOOKUP(A18,tblLearners[Learner_ID],tblLearners[Stage],""))</f>
        <v/>
      </c>
      <c r="C18">
        <f>IF(A18="","",XLOOKUP(A18,tblLearners[Learner_ID],tblLearners[Rotation],""))</f>
        <v/>
      </c>
      <c r="D18">
        <f>IF(A18="",0,COUNTIF(tblObs[Learner_ID],A18))</f>
        <v/>
      </c>
      <c r="E18">
        <f>IF(A18="",0,COUNTA(UNIQUE(FILTER(tblObs[EPA_ID],tblObs[Learner_ID]=A18))))</f>
        <v/>
      </c>
      <c r="F18">
        <f>IF(A18="",0,COUNTIFS(tblObs[Learner_ID],A18,tblObs[Flag],1))</f>
        <v/>
      </c>
      <c r="G18">
        <f>IF(A18="",0,COUNTIFS(tblObs[Learner_ID],A18,tblObs[Date],"&gt;="&amp;TODAY()-56))</f>
        <v/>
      </c>
      <c r="H18">
        <f>IF(A18="",0,LET(t,COUNTIF(tblObs[Learner_ID],A18),w,COUNTIFS(tblObs[Learner_ID],A18,tblObs[Narrative_Positive],"&lt;&gt;")+COUNTIFS(tblObs[Learner_ID],A18,tblObs[Narrative_Improve],"&lt;&gt;"),IF(t=0,0,MIN(1,w/t))))</f>
        <v/>
      </c>
      <c r="I18">
        <f>IF(A18="","",IF(F18&gt;0,"Red",IF(G18&lt;2,"Data action",IF(E18&lt;6,"Amber","Green"))))</f>
        <v/>
      </c>
    </row>
    <row r="19">
      <c r="A19">
        <f>IFERROR(INDEX(tblLearners[Learner_ID],ROW()-1),"")</f>
        <v/>
      </c>
      <c r="B19">
        <f>IF(A19="","",XLOOKUP(A19,tblLearners[Learner_ID],tblLearners[Stage],""))</f>
        <v/>
      </c>
      <c r="C19">
        <f>IF(A19="","",XLOOKUP(A19,tblLearners[Learner_ID],tblLearners[Rotation],""))</f>
        <v/>
      </c>
      <c r="D19">
        <f>IF(A19="",0,COUNTIF(tblObs[Learner_ID],A19))</f>
        <v/>
      </c>
      <c r="E19">
        <f>IF(A19="",0,COUNTA(UNIQUE(FILTER(tblObs[EPA_ID],tblObs[Learner_ID]=A19))))</f>
        <v/>
      </c>
      <c r="F19">
        <f>IF(A19="",0,COUNTIFS(tblObs[Learner_ID],A19,tblObs[Flag],1))</f>
        <v/>
      </c>
      <c r="G19">
        <f>IF(A19="",0,COUNTIFS(tblObs[Learner_ID],A19,tblObs[Date],"&gt;="&amp;TODAY()-56))</f>
        <v/>
      </c>
      <c r="H19">
        <f>IF(A19="",0,LET(t,COUNTIF(tblObs[Learner_ID],A19),w,COUNTIFS(tblObs[Learner_ID],A19,tblObs[Narrative_Positive],"&lt;&gt;")+COUNTIFS(tblObs[Learner_ID],A19,tblObs[Narrative_Improve],"&lt;&gt;"),IF(t=0,0,MIN(1,w/t))))</f>
        <v/>
      </c>
      <c r="I19">
        <f>IF(A19="","",IF(F19&gt;0,"Red",IF(G19&lt;2,"Data action",IF(E19&lt;6,"Amber","Green"))))</f>
        <v/>
      </c>
    </row>
    <row r="20">
      <c r="A20">
        <f>IFERROR(INDEX(tblLearners[Learner_ID],ROW()-1),"")</f>
        <v/>
      </c>
      <c r="B20">
        <f>IF(A20="","",XLOOKUP(A20,tblLearners[Learner_ID],tblLearners[Stage],""))</f>
        <v/>
      </c>
      <c r="C20">
        <f>IF(A20="","",XLOOKUP(A20,tblLearners[Learner_ID],tblLearners[Rotation],""))</f>
        <v/>
      </c>
      <c r="D20">
        <f>IF(A20="",0,COUNTIF(tblObs[Learner_ID],A20))</f>
        <v/>
      </c>
      <c r="E20">
        <f>IF(A20="",0,COUNTA(UNIQUE(FILTER(tblObs[EPA_ID],tblObs[Learner_ID]=A20))))</f>
        <v/>
      </c>
      <c r="F20">
        <f>IF(A20="",0,COUNTIFS(tblObs[Learner_ID],A20,tblObs[Flag],1))</f>
        <v/>
      </c>
      <c r="G20">
        <f>IF(A20="",0,COUNTIFS(tblObs[Learner_ID],A20,tblObs[Date],"&gt;="&amp;TODAY()-56))</f>
        <v/>
      </c>
      <c r="H20">
        <f>IF(A20="",0,LET(t,COUNTIF(tblObs[Learner_ID],A20),w,COUNTIFS(tblObs[Learner_ID],A20,tblObs[Narrative_Positive],"&lt;&gt;")+COUNTIFS(tblObs[Learner_ID],A20,tblObs[Narrative_Improve],"&lt;&gt;"),IF(t=0,0,MIN(1,w/t))))</f>
        <v/>
      </c>
      <c r="I20">
        <f>IF(A20="","",IF(F20&gt;0,"Red",IF(G20&lt;2,"Data action",IF(E20&lt;6,"Amber","Green"))))</f>
        <v/>
      </c>
    </row>
    <row r="21">
      <c r="A21">
        <f>IFERROR(INDEX(tblLearners[Learner_ID],ROW()-1),"")</f>
        <v/>
      </c>
      <c r="B21">
        <f>IF(A21="","",XLOOKUP(A21,tblLearners[Learner_ID],tblLearners[Stage],""))</f>
        <v/>
      </c>
      <c r="C21">
        <f>IF(A21="","",XLOOKUP(A21,tblLearners[Learner_ID],tblLearners[Rotation],""))</f>
        <v/>
      </c>
      <c r="D21">
        <f>IF(A21="",0,COUNTIF(tblObs[Learner_ID],A21))</f>
        <v/>
      </c>
      <c r="E21">
        <f>IF(A21="",0,COUNTA(UNIQUE(FILTER(tblObs[EPA_ID],tblObs[Learner_ID]=A21))))</f>
        <v/>
      </c>
      <c r="F21">
        <f>IF(A21="",0,COUNTIFS(tblObs[Learner_ID],A21,tblObs[Flag],1))</f>
        <v/>
      </c>
      <c r="G21">
        <f>IF(A21="",0,COUNTIFS(tblObs[Learner_ID],A21,tblObs[Date],"&gt;="&amp;TODAY()-56))</f>
        <v/>
      </c>
      <c r="H21">
        <f>IF(A21="",0,LET(t,COUNTIF(tblObs[Learner_ID],A21),w,COUNTIFS(tblObs[Learner_ID],A21,tblObs[Narrative_Positive],"&lt;&gt;")+COUNTIFS(tblObs[Learner_ID],A21,tblObs[Narrative_Improve],"&lt;&gt;"),IF(t=0,0,MIN(1,w/t))))</f>
        <v/>
      </c>
      <c r="I21">
        <f>IF(A21="","",IF(F21&gt;0,"Red",IF(G21&lt;2,"Data action",IF(E21&lt;6,"Amber","Green"))))</f>
        <v/>
      </c>
    </row>
    <row r="22">
      <c r="A22">
        <f>IFERROR(INDEX(tblLearners[Learner_ID],ROW()-1),"")</f>
        <v/>
      </c>
      <c r="B22">
        <f>IF(A22="","",XLOOKUP(A22,tblLearners[Learner_ID],tblLearners[Stage],""))</f>
        <v/>
      </c>
      <c r="C22">
        <f>IF(A22="","",XLOOKUP(A22,tblLearners[Learner_ID],tblLearners[Rotation],""))</f>
        <v/>
      </c>
      <c r="D22">
        <f>IF(A22="",0,COUNTIF(tblObs[Learner_ID],A22))</f>
        <v/>
      </c>
      <c r="E22">
        <f>IF(A22="",0,COUNTA(UNIQUE(FILTER(tblObs[EPA_ID],tblObs[Learner_ID]=A22))))</f>
        <v/>
      </c>
      <c r="F22">
        <f>IF(A22="",0,COUNTIFS(tblObs[Learner_ID],A22,tblObs[Flag],1))</f>
        <v/>
      </c>
      <c r="G22">
        <f>IF(A22="",0,COUNTIFS(tblObs[Learner_ID],A22,tblObs[Date],"&gt;="&amp;TODAY()-56))</f>
        <v/>
      </c>
      <c r="H22">
        <f>IF(A22="",0,LET(t,COUNTIF(tblObs[Learner_ID],A22),w,COUNTIFS(tblObs[Learner_ID],A22,tblObs[Narrative_Positive],"&lt;&gt;")+COUNTIFS(tblObs[Learner_ID],A22,tblObs[Narrative_Improve],"&lt;&gt;"),IF(t=0,0,MIN(1,w/t))))</f>
        <v/>
      </c>
      <c r="I22">
        <f>IF(A22="","",IF(F22&gt;0,"Red",IF(G22&lt;2,"Data action",IF(E22&lt;6,"Amber","Green"))))</f>
        <v/>
      </c>
    </row>
    <row r="23">
      <c r="A23">
        <f>IFERROR(INDEX(tblLearners[Learner_ID],ROW()-1),"")</f>
        <v/>
      </c>
      <c r="B23">
        <f>IF(A23="","",XLOOKUP(A23,tblLearners[Learner_ID],tblLearners[Stage],""))</f>
        <v/>
      </c>
      <c r="C23">
        <f>IF(A23="","",XLOOKUP(A23,tblLearners[Learner_ID],tblLearners[Rotation],""))</f>
        <v/>
      </c>
      <c r="D23">
        <f>IF(A23="",0,COUNTIF(tblObs[Learner_ID],A23))</f>
        <v/>
      </c>
      <c r="E23">
        <f>IF(A23="",0,COUNTA(UNIQUE(FILTER(tblObs[EPA_ID],tblObs[Learner_ID]=A23))))</f>
        <v/>
      </c>
      <c r="F23">
        <f>IF(A23="",0,COUNTIFS(tblObs[Learner_ID],A23,tblObs[Flag],1))</f>
        <v/>
      </c>
      <c r="G23">
        <f>IF(A23="",0,COUNTIFS(tblObs[Learner_ID],A23,tblObs[Date],"&gt;="&amp;TODAY()-56))</f>
        <v/>
      </c>
      <c r="H23">
        <f>IF(A23="",0,LET(t,COUNTIF(tblObs[Learner_ID],A23),w,COUNTIFS(tblObs[Learner_ID],A23,tblObs[Narrative_Positive],"&lt;&gt;")+COUNTIFS(tblObs[Learner_ID],A23,tblObs[Narrative_Improve],"&lt;&gt;"),IF(t=0,0,MIN(1,w/t))))</f>
        <v/>
      </c>
      <c r="I23">
        <f>IF(A23="","",IF(F23&gt;0,"Red",IF(G23&lt;2,"Data action",IF(E23&lt;6,"Amber","Green"))))</f>
        <v/>
      </c>
    </row>
    <row r="24">
      <c r="A24">
        <f>IFERROR(INDEX(tblLearners[Learner_ID],ROW()-1),"")</f>
        <v/>
      </c>
      <c r="B24">
        <f>IF(A24="","",XLOOKUP(A24,tblLearners[Learner_ID],tblLearners[Stage],""))</f>
        <v/>
      </c>
      <c r="C24">
        <f>IF(A24="","",XLOOKUP(A24,tblLearners[Learner_ID],tblLearners[Rotation],""))</f>
        <v/>
      </c>
      <c r="D24">
        <f>IF(A24="",0,COUNTIF(tblObs[Learner_ID],A24))</f>
        <v/>
      </c>
      <c r="E24">
        <f>IF(A24="",0,COUNTA(UNIQUE(FILTER(tblObs[EPA_ID],tblObs[Learner_ID]=A24))))</f>
        <v/>
      </c>
      <c r="F24">
        <f>IF(A24="",0,COUNTIFS(tblObs[Learner_ID],A24,tblObs[Flag],1))</f>
        <v/>
      </c>
      <c r="G24">
        <f>IF(A24="",0,COUNTIFS(tblObs[Learner_ID],A24,tblObs[Date],"&gt;="&amp;TODAY()-56))</f>
        <v/>
      </c>
      <c r="H24">
        <f>IF(A24="",0,LET(t,COUNTIF(tblObs[Learner_ID],A24),w,COUNTIFS(tblObs[Learner_ID],A24,tblObs[Narrative_Positive],"&lt;&gt;")+COUNTIFS(tblObs[Learner_ID],A24,tblObs[Narrative_Improve],"&lt;&gt;"),IF(t=0,0,MIN(1,w/t))))</f>
        <v/>
      </c>
      <c r="I24">
        <f>IF(A24="","",IF(F24&gt;0,"Red",IF(G24&lt;2,"Data action",IF(E24&lt;6,"Amber","Green"))))</f>
        <v/>
      </c>
    </row>
    <row r="25">
      <c r="A25">
        <f>IFERROR(INDEX(tblLearners[Learner_ID],ROW()-1),"")</f>
        <v/>
      </c>
      <c r="B25">
        <f>IF(A25="","",XLOOKUP(A25,tblLearners[Learner_ID],tblLearners[Stage],""))</f>
        <v/>
      </c>
      <c r="C25">
        <f>IF(A25="","",XLOOKUP(A25,tblLearners[Learner_ID],tblLearners[Rotation],""))</f>
        <v/>
      </c>
      <c r="D25">
        <f>IF(A25="",0,COUNTIF(tblObs[Learner_ID],A25))</f>
        <v/>
      </c>
      <c r="E25">
        <f>IF(A25="",0,COUNTA(UNIQUE(FILTER(tblObs[EPA_ID],tblObs[Learner_ID]=A25))))</f>
        <v/>
      </c>
      <c r="F25">
        <f>IF(A25="",0,COUNTIFS(tblObs[Learner_ID],A25,tblObs[Flag],1))</f>
        <v/>
      </c>
      <c r="G25">
        <f>IF(A25="",0,COUNTIFS(tblObs[Learner_ID],A25,tblObs[Date],"&gt;="&amp;TODAY()-56))</f>
        <v/>
      </c>
      <c r="H25">
        <f>IF(A25="",0,LET(t,COUNTIF(tblObs[Learner_ID],A25),w,COUNTIFS(tblObs[Learner_ID],A25,tblObs[Narrative_Positive],"&lt;&gt;")+COUNTIFS(tblObs[Learner_ID],A25,tblObs[Narrative_Improve],"&lt;&gt;"),IF(t=0,0,MIN(1,w/t))))</f>
        <v/>
      </c>
      <c r="I25">
        <f>IF(A25="","",IF(F25&gt;0,"Red",IF(G25&lt;2,"Data action",IF(E25&lt;6,"Amber","Green"))))</f>
        <v/>
      </c>
    </row>
    <row r="26">
      <c r="A26">
        <f>IFERROR(INDEX(tblLearners[Learner_ID],ROW()-1),"")</f>
        <v/>
      </c>
      <c r="B26">
        <f>IF(A26="","",XLOOKUP(A26,tblLearners[Learner_ID],tblLearners[Stage],""))</f>
        <v/>
      </c>
      <c r="C26">
        <f>IF(A26="","",XLOOKUP(A26,tblLearners[Learner_ID],tblLearners[Rotation],""))</f>
        <v/>
      </c>
      <c r="D26">
        <f>IF(A26="",0,COUNTIF(tblObs[Learner_ID],A26))</f>
        <v/>
      </c>
      <c r="E26">
        <f>IF(A26="",0,COUNTA(UNIQUE(FILTER(tblObs[EPA_ID],tblObs[Learner_ID]=A26))))</f>
        <v/>
      </c>
      <c r="F26">
        <f>IF(A26="",0,COUNTIFS(tblObs[Learner_ID],A26,tblObs[Flag],1))</f>
        <v/>
      </c>
      <c r="G26">
        <f>IF(A26="",0,COUNTIFS(tblObs[Learner_ID],A26,tblObs[Date],"&gt;="&amp;TODAY()-56))</f>
        <v/>
      </c>
      <c r="H26">
        <f>IF(A26="",0,LET(t,COUNTIF(tblObs[Learner_ID],A26),w,COUNTIFS(tblObs[Learner_ID],A26,tblObs[Narrative_Positive],"&lt;&gt;")+COUNTIFS(tblObs[Learner_ID],A26,tblObs[Narrative_Improve],"&lt;&gt;"),IF(t=0,0,MIN(1,w/t))))</f>
        <v/>
      </c>
      <c r="I26">
        <f>IF(A26="","",IF(F26&gt;0,"Red",IF(G26&lt;2,"Data action",IF(E26&lt;6,"Amber","Green"))))</f>
        <v/>
      </c>
    </row>
    <row r="27">
      <c r="A27">
        <f>IFERROR(INDEX(tblLearners[Learner_ID],ROW()-1),"")</f>
        <v/>
      </c>
      <c r="B27">
        <f>IF(A27="","",XLOOKUP(A27,tblLearners[Learner_ID],tblLearners[Stage],""))</f>
        <v/>
      </c>
      <c r="C27">
        <f>IF(A27="","",XLOOKUP(A27,tblLearners[Learner_ID],tblLearners[Rotation],""))</f>
        <v/>
      </c>
      <c r="D27">
        <f>IF(A27="",0,COUNTIF(tblObs[Learner_ID],A27))</f>
        <v/>
      </c>
      <c r="E27">
        <f>IF(A27="",0,COUNTA(UNIQUE(FILTER(tblObs[EPA_ID],tblObs[Learner_ID]=A27))))</f>
        <v/>
      </c>
      <c r="F27">
        <f>IF(A27="",0,COUNTIFS(tblObs[Learner_ID],A27,tblObs[Flag],1))</f>
        <v/>
      </c>
      <c r="G27">
        <f>IF(A27="",0,COUNTIFS(tblObs[Learner_ID],A27,tblObs[Date],"&gt;="&amp;TODAY()-56))</f>
        <v/>
      </c>
      <c r="H27">
        <f>IF(A27="",0,LET(t,COUNTIF(tblObs[Learner_ID],A27),w,COUNTIFS(tblObs[Learner_ID],A27,tblObs[Narrative_Positive],"&lt;&gt;")+COUNTIFS(tblObs[Learner_ID],A27,tblObs[Narrative_Improve],"&lt;&gt;"),IF(t=0,0,MIN(1,w/t))))</f>
        <v/>
      </c>
      <c r="I27">
        <f>IF(A27="","",IF(F27&gt;0,"Red",IF(G27&lt;2,"Data action",IF(E27&lt;6,"Amber","Green"))))</f>
        <v/>
      </c>
    </row>
    <row r="28">
      <c r="A28">
        <f>IFERROR(INDEX(tblLearners[Learner_ID],ROW()-1),"")</f>
        <v/>
      </c>
      <c r="B28">
        <f>IF(A28="","",XLOOKUP(A28,tblLearners[Learner_ID],tblLearners[Stage],""))</f>
        <v/>
      </c>
      <c r="C28">
        <f>IF(A28="","",XLOOKUP(A28,tblLearners[Learner_ID],tblLearners[Rotation],""))</f>
        <v/>
      </c>
      <c r="D28">
        <f>IF(A28="",0,COUNTIF(tblObs[Learner_ID],A28))</f>
        <v/>
      </c>
      <c r="E28">
        <f>IF(A28="",0,COUNTA(UNIQUE(FILTER(tblObs[EPA_ID],tblObs[Learner_ID]=A28))))</f>
        <v/>
      </c>
      <c r="F28">
        <f>IF(A28="",0,COUNTIFS(tblObs[Learner_ID],A28,tblObs[Flag],1))</f>
        <v/>
      </c>
      <c r="G28">
        <f>IF(A28="",0,COUNTIFS(tblObs[Learner_ID],A28,tblObs[Date],"&gt;="&amp;TODAY()-56))</f>
        <v/>
      </c>
      <c r="H28">
        <f>IF(A28="",0,LET(t,COUNTIF(tblObs[Learner_ID],A28),w,COUNTIFS(tblObs[Learner_ID],A28,tblObs[Narrative_Positive],"&lt;&gt;")+COUNTIFS(tblObs[Learner_ID],A28,tblObs[Narrative_Improve],"&lt;&gt;"),IF(t=0,0,MIN(1,w/t))))</f>
        <v/>
      </c>
      <c r="I28">
        <f>IF(A28="","",IF(F28&gt;0,"Red",IF(G28&lt;2,"Data action",IF(E28&lt;6,"Amber","Green"))))</f>
        <v/>
      </c>
    </row>
    <row r="29">
      <c r="A29">
        <f>IFERROR(INDEX(tblLearners[Learner_ID],ROW()-1),"")</f>
        <v/>
      </c>
      <c r="B29">
        <f>IF(A29="","",XLOOKUP(A29,tblLearners[Learner_ID],tblLearners[Stage],""))</f>
        <v/>
      </c>
      <c r="C29">
        <f>IF(A29="","",XLOOKUP(A29,tblLearners[Learner_ID],tblLearners[Rotation],""))</f>
        <v/>
      </c>
      <c r="D29">
        <f>IF(A29="",0,COUNTIF(tblObs[Learner_ID],A29))</f>
        <v/>
      </c>
      <c r="E29">
        <f>IF(A29="",0,COUNTA(UNIQUE(FILTER(tblObs[EPA_ID],tblObs[Learner_ID]=A29))))</f>
        <v/>
      </c>
      <c r="F29">
        <f>IF(A29="",0,COUNTIFS(tblObs[Learner_ID],A29,tblObs[Flag],1))</f>
        <v/>
      </c>
      <c r="G29">
        <f>IF(A29="",0,COUNTIFS(tblObs[Learner_ID],A29,tblObs[Date],"&gt;="&amp;TODAY()-56))</f>
        <v/>
      </c>
      <c r="H29">
        <f>IF(A29="",0,LET(t,COUNTIF(tblObs[Learner_ID],A29),w,COUNTIFS(tblObs[Learner_ID],A29,tblObs[Narrative_Positive],"&lt;&gt;")+COUNTIFS(tblObs[Learner_ID],A29,tblObs[Narrative_Improve],"&lt;&gt;"),IF(t=0,0,MIN(1,w/t))))</f>
        <v/>
      </c>
      <c r="I29">
        <f>IF(A29="","",IF(F29&gt;0,"Red",IF(G29&lt;2,"Data action",IF(E29&lt;6,"Amber","Green"))))</f>
        <v/>
      </c>
    </row>
    <row r="30">
      <c r="A30">
        <f>IFERROR(INDEX(tblLearners[Learner_ID],ROW()-1),"")</f>
        <v/>
      </c>
      <c r="B30">
        <f>IF(A30="","",XLOOKUP(A30,tblLearners[Learner_ID],tblLearners[Stage],""))</f>
        <v/>
      </c>
      <c r="C30">
        <f>IF(A30="","",XLOOKUP(A30,tblLearners[Learner_ID],tblLearners[Rotation],""))</f>
        <v/>
      </c>
      <c r="D30">
        <f>IF(A30="",0,COUNTIF(tblObs[Learner_ID],A30))</f>
        <v/>
      </c>
      <c r="E30">
        <f>IF(A30="",0,COUNTA(UNIQUE(FILTER(tblObs[EPA_ID],tblObs[Learner_ID]=A30))))</f>
        <v/>
      </c>
      <c r="F30">
        <f>IF(A30="",0,COUNTIFS(tblObs[Learner_ID],A30,tblObs[Flag],1))</f>
        <v/>
      </c>
      <c r="G30">
        <f>IF(A30="",0,COUNTIFS(tblObs[Learner_ID],A30,tblObs[Date],"&gt;="&amp;TODAY()-56))</f>
        <v/>
      </c>
      <c r="H30">
        <f>IF(A30="",0,LET(t,COUNTIF(tblObs[Learner_ID],A30),w,COUNTIFS(tblObs[Learner_ID],A30,tblObs[Narrative_Positive],"&lt;&gt;")+COUNTIFS(tblObs[Learner_ID],A30,tblObs[Narrative_Improve],"&lt;&gt;"),IF(t=0,0,MIN(1,w/t))))</f>
        <v/>
      </c>
      <c r="I30">
        <f>IF(A30="","",IF(F30&gt;0,"Red",IF(G30&lt;2,"Data action",IF(E30&lt;6,"Amber","Green"))))</f>
        <v/>
      </c>
    </row>
    <row r="31">
      <c r="A31">
        <f>IFERROR(INDEX(tblLearners[Learner_ID],ROW()-1),"")</f>
        <v/>
      </c>
      <c r="B31">
        <f>IF(A31="","",XLOOKUP(A31,tblLearners[Learner_ID],tblLearners[Stage],""))</f>
        <v/>
      </c>
      <c r="C31">
        <f>IF(A31="","",XLOOKUP(A31,tblLearners[Learner_ID],tblLearners[Rotation],""))</f>
        <v/>
      </c>
      <c r="D31">
        <f>IF(A31="",0,COUNTIF(tblObs[Learner_ID],A31))</f>
        <v/>
      </c>
      <c r="E31">
        <f>IF(A31="",0,COUNTA(UNIQUE(FILTER(tblObs[EPA_ID],tblObs[Learner_ID]=A31))))</f>
        <v/>
      </c>
      <c r="F31">
        <f>IF(A31="",0,COUNTIFS(tblObs[Learner_ID],A31,tblObs[Flag],1))</f>
        <v/>
      </c>
      <c r="G31">
        <f>IF(A31="",0,COUNTIFS(tblObs[Learner_ID],A31,tblObs[Date],"&gt;="&amp;TODAY()-56))</f>
        <v/>
      </c>
      <c r="H31">
        <f>IF(A31="",0,LET(t,COUNTIF(tblObs[Learner_ID],A31),w,COUNTIFS(tblObs[Learner_ID],A31,tblObs[Narrative_Positive],"&lt;&gt;")+COUNTIFS(tblObs[Learner_ID],A31,tblObs[Narrative_Improve],"&lt;&gt;"),IF(t=0,0,MIN(1,w/t))))</f>
        <v/>
      </c>
      <c r="I31">
        <f>IF(A31="","",IF(F31&gt;0,"Red",IF(G31&lt;2,"Data action",IF(E31&lt;6,"Amber","Green"))))</f>
        <v/>
      </c>
    </row>
    <row r="32">
      <c r="A32">
        <f>IFERROR(INDEX(tblLearners[Learner_ID],ROW()-1),"")</f>
        <v/>
      </c>
      <c r="B32">
        <f>IF(A32="","",XLOOKUP(A32,tblLearners[Learner_ID],tblLearners[Stage],""))</f>
        <v/>
      </c>
      <c r="C32">
        <f>IF(A32="","",XLOOKUP(A32,tblLearners[Learner_ID],tblLearners[Rotation],""))</f>
        <v/>
      </c>
      <c r="D32">
        <f>IF(A32="",0,COUNTIF(tblObs[Learner_ID],A32))</f>
        <v/>
      </c>
      <c r="E32">
        <f>IF(A32="",0,COUNTA(UNIQUE(FILTER(tblObs[EPA_ID],tblObs[Learner_ID]=A32))))</f>
        <v/>
      </c>
      <c r="F32">
        <f>IF(A32="",0,COUNTIFS(tblObs[Learner_ID],A32,tblObs[Flag],1))</f>
        <v/>
      </c>
      <c r="G32">
        <f>IF(A32="",0,COUNTIFS(tblObs[Learner_ID],A32,tblObs[Date],"&gt;="&amp;TODAY()-56))</f>
        <v/>
      </c>
      <c r="H32">
        <f>IF(A32="",0,LET(t,COUNTIF(tblObs[Learner_ID],A32),w,COUNTIFS(tblObs[Learner_ID],A32,tblObs[Narrative_Positive],"&lt;&gt;")+COUNTIFS(tblObs[Learner_ID],A32,tblObs[Narrative_Improve],"&lt;&gt;"),IF(t=0,0,MIN(1,w/t))))</f>
        <v/>
      </c>
      <c r="I32">
        <f>IF(A32="","",IF(F32&gt;0,"Red",IF(G32&lt;2,"Data action",IF(E32&lt;6,"Amber","Green"))))</f>
        <v/>
      </c>
    </row>
    <row r="33">
      <c r="A33">
        <f>IFERROR(INDEX(tblLearners[Learner_ID],ROW()-1),"")</f>
        <v/>
      </c>
      <c r="B33">
        <f>IF(A33="","",XLOOKUP(A33,tblLearners[Learner_ID],tblLearners[Stage],""))</f>
        <v/>
      </c>
      <c r="C33">
        <f>IF(A33="","",XLOOKUP(A33,tblLearners[Learner_ID],tblLearners[Rotation],""))</f>
        <v/>
      </c>
      <c r="D33">
        <f>IF(A33="",0,COUNTIF(tblObs[Learner_ID],A33))</f>
        <v/>
      </c>
      <c r="E33">
        <f>IF(A33="",0,COUNTA(UNIQUE(FILTER(tblObs[EPA_ID],tblObs[Learner_ID]=A33))))</f>
        <v/>
      </c>
      <c r="F33">
        <f>IF(A33="",0,COUNTIFS(tblObs[Learner_ID],A33,tblObs[Flag],1))</f>
        <v/>
      </c>
      <c r="G33">
        <f>IF(A33="",0,COUNTIFS(tblObs[Learner_ID],A33,tblObs[Date],"&gt;="&amp;TODAY()-56))</f>
        <v/>
      </c>
      <c r="H33">
        <f>IF(A33="",0,LET(t,COUNTIF(tblObs[Learner_ID],A33),w,COUNTIFS(tblObs[Learner_ID],A33,tblObs[Narrative_Positive],"&lt;&gt;")+COUNTIFS(tblObs[Learner_ID],A33,tblObs[Narrative_Improve],"&lt;&gt;"),IF(t=0,0,MIN(1,w/t))))</f>
        <v/>
      </c>
      <c r="I33">
        <f>IF(A33="","",IF(F33&gt;0,"Red",IF(G33&lt;2,"Data action",IF(E33&lt;6,"Amber","Green"))))</f>
        <v/>
      </c>
    </row>
    <row r="34">
      <c r="A34">
        <f>IFERROR(INDEX(tblLearners[Learner_ID],ROW()-1),"")</f>
        <v/>
      </c>
      <c r="B34">
        <f>IF(A34="","",XLOOKUP(A34,tblLearners[Learner_ID],tblLearners[Stage],""))</f>
        <v/>
      </c>
      <c r="C34">
        <f>IF(A34="","",XLOOKUP(A34,tblLearners[Learner_ID],tblLearners[Rotation],""))</f>
        <v/>
      </c>
      <c r="D34">
        <f>IF(A34="",0,COUNTIF(tblObs[Learner_ID],A34))</f>
        <v/>
      </c>
      <c r="E34">
        <f>IF(A34="",0,COUNTA(UNIQUE(FILTER(tblObs[EPA_ID],tblObs[Learner_ID]=A34))))</f>
        <v/>
      </c>
      <c r="F34">
        <f>IF(A34="",0,COUNTIFS(tblObs[Learner_ID],A34,tblObs[Flag],1))</f>
        <v/>
      </c>
      <c r="G34">
        <f>IF(A34="",0,COUNTIFS(tblObs[Learner_ID],A34,tblObs[Date],"&gt;="&amp;TODAY()-56))</f>
        <v/>
      </c>
      <c r="H34">
        <f>IF(A34="",0,LET(t,COUNTIF(tblObs[Learner_ID],A34),w,COUNTIFS(tblObs[Learner_ID],A34,tblObs[Narrative_Positive],"&lt;&gt;")+COUNTIFS(tblObs[Learner_ID],A34,tblObs[Narrative_Improve],"&lt;&gt;"),IF(t=0,0,MIN(1,w/t))))</f>
        <v/>
      </c>
      <c r="I34">
        <f>IF(A34="","",IF(F34&gt;0,"Red",IF(G34&lt;2,"Data action",IF(E34&lt;6,"Amber","Green"))))</f>
        <v/>
      </c>
    </row>
    <row r="35">
      <c r="A35">
        <f>IFERROR(INDEX(tblLearners[Learner_ID],ROW()-1),"")</f>
        <v/>
      </c>
      <c r="B35">
        <f>IF(A35="","",XLOOKUP(A35,tblLearners[Learner_ID],tblLearners[Stage],""))</f>
        <v/>
      </c>
      <c r="C35">
        <f>IF(A35="","",XLOOKUP(A35,tblLearners[Learner_ID],tblLearners[Rotation],""))</f>
        <v/>
      </c>
      <c r="D35">
        <f>IF(A35="",0,COUNTIF(tblObs[Learner_ID],A35))</f>
        <v/>
      </c>
      <c r="E35">
        <f>IF(A35="",0,COUNTA(UNIQUE(FILTER(tblObs[EPA_ID],tblObs[Learner_ID]=A35))))</f>
        <v/>
      </c>
      <c r="F35">
        <f>IF(A35="",0,COUNTIFS(tblObs[Learner_ID],A35,tblObs[Flag],1))</f>
        <v/>
      </c>
      <c r="G35">
        <f>IF(A35="",0,COUNTIFS(tblObs[Learner_ID],A35,tblObs[Date],"&gt;="&amp;TODAY()-56))</f>
        <v/>
      </c>
      <c r="H35">
        <f>IF(A35="",0,LET(t,COUNTIF(tblObs[Learner_ID],A35),w,COUNTIFS(tblObs[Learner_ID],A35,tblObs[Narrative_Positive],"&lt;&gt;")+COUNTIFS(tblObs[Learner_ID],A35,tblObs[Narrative_Improve],"&lt;&gt;"),IF(t=0,0,MIN(1,w/t))))</f>
        <v/>
      </c>
      <c r="I35">
        <f>IF(A35="","",IF(F35&gt;0,"Red",IF(G35&lt;2,"Data action",IF(E35&lt;6,"Amber","Green"))))</f>
        <v/>
      </c>
    </row>
    <row r="36">
      <c r="A36">
        <f>IFERROR(INDEX(tblLearners[Learner_ID],ROW()-1),"")</f>
        <v/>
      </c>
      <c r="B36">
        <f>IF(A36="","",XLOOKUP(A36,tblLearners[Learner_ID],tblLearners[Stage],""))</f>
        <v/>
      </c>
      <c r="C36">
        <f>IF(A36="","",XLOOKUP(A36,tblLearners[Learner_ID],tblLearners[Rotation],""))</f>
        <v/>
      </c>
      <c r="D36">
        <f>IF(A36="",0,COUNTIF(tblObs[Learner_ID],A36))</f>
        <v/>
      </c>
      <c r="E36">
        <f>IF(A36="",0,COUNTA(UNIQUE(FILTER(tblObs[EPA_ID],tblObs[Learner_ID]=A36))))</f>
        <v/>
      </c>
      <c r="F36">
        <f>IF(A36="",0,COUNTIFS(tblObs[Learner_ID],A36,tblObs[Flag],1))</f>
        <v/>
      </c>
      <c r="G36">
        <f>IF(A36="",0,COUNTIFS(tblObs[Learner_ID],A36,tblObs[Date],"&gt;="&amp;TODAY()-56))</f>
        <v/>
      </c>
      <c r="H36">
        <f>IF(A36="",0,LET(t,COUNTIF(tblObs[Learner_ID],A36),w,COUNTIFS(tblObs[Learner_ID],A36,tblObs[Narrative_Positive],"&lt;&gt;")+COUNTIFS(tblObs[Learner_ID],A36,tblObs[Narrative_Improve],"&lt;&gt;"),IF(t=0,0,MIN(1,w/t))))</f>
        <v/>
      </c>
      <c r="I36">
        <f>IF(A36="","",IF(F36&gt;0,"Red",IF(G36&lt;2,"Data action",IF(E36&lt;6,"Amber","Green"))))</f>
        <v/>
      </c>
    </row>
    <row r="37">
      <c r="A37">
        <f>IFERROR(INDEX(tblLearners[Learner_ID],ROW()-1),"")</f>
        <v/>
      </c>
      <c r="B37">
        <f>IF(A37="","",XLOOKUP(A37,tblLearners[Learner_ID],tblLearners[Stage],""))</f>
        <v/>
      </c>
      <c r="C37">
        <f>IF(A37="","",XLOOKUP(A37,tblLearners[Learner_ID],tblLearners[Rotation],""))</f>
        <v/>
      </c>
      <c r="D37">
        <f>IF(A37="",0,COUNTIF(tblObs[Learner_ID],A37))</f>
        <v/>
      </c>
      <c r="E37">
        <f>IF(A37="",0,COUNTA(UNIQUE(FILTER(tblObs[EPA_ID],tblObs[Learner_ID]=A37))))</f>
        <v/>
      </c>
      <c r="F37">
        <f>IF(A37="",0,COUNTIFS(tblObs[Learner_ID],A37,tblObs[Flag],1))</f>
        <v/>
      </c>
      <c r="G37">
        <f>IF(A37="",0,COUNTIFS(tblObs[Learner_ID],A37,tblObs[Date],"&gt;="&amp;TODAY()-56))</f>
        <v/>
      </c>
      <c r="H37">
        <f>IF(A37="",0,LET(t,COUNTIF(tblObs[Learner_ID],A37),w,COUNTIFS(tblObs[Learner_ID],A37,tblObs[Narrative_Positive],"&lt;&gt;")+COUNTIFS(tblObs[Learner_ID],A37,tblObs[Narrative_Improve],"&lt;&gt;"),IF(t=0,0,MIN(1,w/t))))</f>
        <v/>
      </c>
      <c r="I37">
        <f>IF(A37="","",IF(F37&gt;0,"Red",IF(G37&lt;2,"Data action",IF(E37&lt;6,"Amber","Green"))))</f>
        <v/>
      </c>
    </row>
    <row r="38">
      <c r="A38">
        <f>IFERROR(INDEX(tblLearners[Learner_ID],ROW()-1),"")</f>
        <v/>
      </c>
      <c r="B38">
        <f>IF(A38="","",XLOOKUP(A38,tblLearners[Learner_ID],tblLearners[Stage],""))</f>
        <v/>
      </c>
      <c r="C38">
        <f>IF(A38="","",XLOOKUP(A38,tblLearners[Learner_ID],tblLearners[Rotation],""))</f>
        <v/>
      </c>
      <c r="D38">
        <f>IF(A38="",0,COUNTIF(tblObs[Learner_ID],A38))</f>
        <v/>
      </c>
      <c r="E38">
        <f>IF(A38="",0,COUNTA(UNIQUE(FILTER(tblObs[EPA_ID],tblObs[Learner_ID]=A38))))</f>
        <v/>
      </c>
      <c r="F38">
        <f>IF(A38="",0,COUNTIFS(tblObs[Learner_ID],A38,tblObs[Flag],1))</f>
        <v/>
      </c>
      <c r="G38">
        <f>IF(A38="",0,COUNTIFS(tblObs[Learner_ID],A38,tblObs[Date],"&gt;="&amp;TODAY()-56))</f>
        <v/>
      </c>
      <c r="H38">
        <f>IF(A38="",0,LET(t,COUNTIF(tblObs[Learner_ID],A38),w,COUNTIFS(tblObs[Learner_ID],A38,tblObs[Narrative_Positive],"&lt;&gt;")+COUNTIFS(tblObs[Learner_ID],A38,tblObs[Narrative_Improve],"&lt;&gt;"),IF(t=0,0,MIN(1,w/t))))</f>
        <v/>
      </c>
      <c r="I38">
        <f>IF(A38="","",IF(F38&gt;0,"Red",IF(G38&lt;2,"Data action",IF(E38&lt;6,"Amber","Green"))))</f>
        <v/>
      </c>
    </row>
    <row r="39">
      <c r="A39">
        <f>IFERROR(INDEX(tblLearners[Learner_ID],ROW()-1),"")</f>
        <v/>
      </c>
      <c r="B39">
        <f>IF(A39="","",XLOOKUP(A39,tblLearners[Learner_ID],tblLearners[Stage],""))</f>
        <v/>
      </c>
      <c r="C39">
        <f>IF(A39="","",XLOOKUP(A39,tblLearners[Learner_ID],tblLearners[Rotation],""))</f>
        <v/>
      </c>
      <c r="D39">
        <f>IF(A39="",0,COUNTIF(tblObs[Learner_ID],A39))</f>
        <v/>
      </c>
      <c r="E39">
        <f>IF(A39="",0,COUNTA(UNIQUE(FILTER(tblObs[EPA_ID],tblObs[Learner_ID]=A39))))</f>
        <v/>
      </c>
      <c r="F39">
        <f>IF(A39="",0,COUNTIFS(tblObs[Learner_ID],A39,tblObs[Flag],1))</f>
        <v/>
      </c>
      <c r="G39">
        <f>IF(A39="",0,COUNTIFS(tblObs[Learner_ID],A39,tblObs[Date],"&gt;="&amp;TODAY()-56))</f>
        <v/>
      </c>
      <c r="H39">
        <f>IF(A39="",0,LET(t,COUNTIF(tblObs[Learner_ID],A39),w,COUNTIFS(tblObs[Learner_ID],A39,tblObs[Narrative_Positive],"&lt;&gt;")+COUNTIFS(tblObs[Learner_ID],A39,tblObs[Narrative_Improve],"&lt;&gt;"),IF(t=0,0,MIN(1,w/t))))</f>
        <v/>
      </c>
      <c r="I39">
        <f>IF(A39="","",IF(F39&gt;0,"Red",IF(G39&lt;2,"Data action",IF(E39&lt;6,"Amber","Green"))))</f>
        <v/>
      </c>
    </row>
    <row r="40">
      <c r="A40">
        <f>IFERROR(INDEX(tblLearners[Learner_ID],ROW()-1),"")</f>
        <v/>
      </c>
      <c r="B40">
        <f>IF(A40="","",XLOOKUP(A40,tblLearners[Learner_ID],tblLearners[Stage],""))</f>
        <v/>
      </c>
      <c r="C40">
        <f>IF(A40="","",XLOOKUP(A40,tblLearners[Learner_ID],tblLearners[Rotation],""))</f>
        <v/>
      </c>
      <c r="D40">
        <f>IF(A40="",0,COUNTIF(tblObs[Learner_ID],A40))</f>
        <v/>
      </c>
      <c r="E40">
        <f>IF(A40="",0,COUNTA(UNIQUE(FILTER(tblObs[EPA_ID],tblObs[Learner_ID]=A40))))</f>
        <v/>
      </c>
      <c r="F40">
        <f>IF(A40="",0,COUNTIFS(tblObs[Learner_ID],A40,tblObs[Flag],1))</f>
        <v/>
      </c>
      <c r="G40">
        <f>IF(A40="",0,COUNTIFS(tblObs[Learner_ID],A40,tblObs[Date],"&gt;="&amp;TODAY()-56))</f>
        <v/>
      </c>
      <c r="H40">
        <f>IF(A40="",0,LET(t,COUNTIF(tblObs[Learner_ID],A40),w,COUNTIFS(tblObs[Learner_ID],A40,tblObs[Narrative_Positive],"&lt;&gt;")+COUNTIFS(tblObs[Learner_ID],A40,tblObs[Narrative_Improve],"&lt;&gt;"),IF(t=0,0,MIN(1,w/t))))</f>
        <v/>
      </c>
      <c r="I40">
        <f>IF(A40="","",IF(F40&gt;0,"Red",IF(G40&lt;2,"Data action",IF(E40&lt;6,"Amber","Green"))))</f>
        <v/>
      </c>
    </row>
    <row r="41">
      <c r="A41">
        <f>IFERROR(INDEX(tblLearners[Learner_ID],ROW()-1),"")</f>
        <v/>
      </c>
      <c r="B41">
        <f>IF(A41="","",XLOOKUP(A41,tblLearners[Learner_ID],tblLearners[Stage],""))</f>
        <v/>
      </c>
      <c r="C41">
        <f>IF(A41="","",XLOOKUP(A41,tblLearners[Learner_ID],tblLearners[Rotation],""))</f>
        <v/>
      </c>
      <c r="D41">
        <f>IF(A41="",0,COUNTIF(tblObs[Learner_ID],A41))</f>
        <v/>
      </c>
      <c r="E41">
        <f>IF(A41="",0,COUNTA(UNIQUE(FILTER(tblObs[EPA_ID],tblObs[Learner_ID]=A41))))</f>
        <v/>
      </c>
      <c r="F41">
        <f>IF(A41="",0,COUNTIFS(tblObs[Learner_ID],A41,tblObs[Flag],1))</f>
        <v/>
      </c>
      <c r="G41">
        <f>IF(A41="",0,COUNTIFS(tblObs[Learner_ID],A41,tblObs[Date],"&gt;="&amp;TODAY()-56))</f>
        <v/>
      </c>
      <c r="H41">
        <f>IF(A41="",0,LET(t,COUNTIF(tblObs[Learner_ID],A41),w,COUNTIFS(tblObs[Learner_ID],A41,tblObs[Narrative_Positive],"&lt;&gt;")+COUNTIFS(tblObs[Learner_ID],A41,tblObs[Narrative_Improve],"&lt;&gt;"),IF(t=0,0,MIN(1,w/t))))</f>
        <v/>
      </c>
      <c r="I41">
        <f>IF(A41="","",IF(F41&gt;0,"Red",IF(G41&lt;2,"Data action",IF(E41&lt;6,"Amber","Green"))))</f>
        <v/>
      </c>
    </row>
    <row r="42">
      <c r="A42">
        <f>IFERROR(INDEX(tblLearners[Learner_ID],ROW()-1),"")</f>
        <v/>
      </c>
      <c r="B42">
        <f>IF(A42="","",XLOOKUP(A42,tblLearners[Learner_ID],tblLearners[Stage],""))</f>
        <v/>
      </c>
      <c r="C42">
        <f>IF(A42="","",XLOOKUP(A42,tblLearners[Learner_ID],tblLearners[Rotation],""))</f>
        <v/>
      </c>
      <c r="D42">
        <f>IF(A42="",0,COUNTIF(tblObs[Learner_ID],A42))</f>
        <v/>
      </c>
      <c r="E42">
        <f>IF(A42="",0,COUNTA(UNIQUE(FILTER(tblObs[EPA_ID],tblObs[Learner_ID]=A42))))</f>
        <v/>
      </c>
      <c r="F42">
        <f>IF(A42="",0,COUNTIFS(tblObs[Learner_ID],A42,tblObs[Flag],1))</f>
        <v/>
      </c>
      <c r="G42">
        <f>IF(A42="",0,COUNTIFS(tblObs[Learner_ID],A42,tblObs[Date],"&gt;="&amp;TODAY()-56))</f>
        <v/>
      </c>
      <c r="H42">
        <f>IF(A42="",0,LET(t,COUNTIF(tblObs[Learner_ID],A42),w,COUNTIFS(tblObs[Learner_ID],A42,tblObs[Narrative_Positive],"&lt;&gt;")+COUNTIFS(tblObs[Learner_ID],A42,tblObs[Narrative_Improve],"&lt;&gt;"),IF(t=0,0,MIN(1,w/t))))</f>
        <v/>
      </c>
      <c r="I42">
        <f>IF(A42="","",IF(F42&gt;0,"Red",IF(G42&lt;2,"Data action",IF(E42&lt;6,"Amber","Green"))))</f>
        <v/>
      </c>
    </row>
    <row r="43">
      <c r="A43">
        <f>IFERROR(INDEX(tblLearners[Learner_ID],ROW()-1),"")</f>
        <v/>
      </c>
      <c r="B43">
        <f>IF(A43="","",XLOOKUP(A43,tblLearners[Learner_ID],tblLearners[Stage],""))</f>
        <v/>
      </c>
      <c r="C43">
        <f>IF(A43="","",XLOOKUP(A43,tblLearners[Learner_ID],tblLearners[Rotation],""))</f>
        <v/>
      </c>
      <c r="D43">
        <f>IF(A43="",0,COUNTIF(tblObs[Learner_ID],A43))</f>
        <v/>
      </c>
      <c r="E43">
        <f>IF(A43="",0,COUNTA(UNIQUE(FILTER(tblObs[EPA_ID],tblObs[Learner_ID]=A43))))</f>
        <v/>
      </c>
      <c r="F43">
        <f>IF(A43="",0,COUNTIFS(tblObs[Learner_ID],A43,tblObs[Flag],1))</f>
        <v/>
      </c>
      <c r="G43">
        <f>IF(A43="",0,COUNTIFS(tblObs[Learner_ID],A43,tblObs[Date],"&gt;="&amp;TODAY()-56))</f>
        <v/>
      </c>
      <c r="H43">
        <f>IF(A43="",0,LET(t,COUNTIF(tblObs[Learner_ID],A43),w,COUNTIFS(tblObs[Learner_ID],A43,tblObs[Narrative_Positive],"&lt;&gt;")+COUNTIFS(tblObs[Learner_ID],A43,tblObs[Narrative_Improve],"&lt;&gt;"),IF(t=0,0,MIN(1,w/t))))</f>
        <v/>
      </c>
      <c r="I43">
        <f>IF(A43="","",IF(F43&gt;0,"Red",IF(G43&lt;2,"Data action",IF(E43&lt;6,"Amber","Green"))))</f>
        <v/>
      </c>
    </row>
    <row r="44">
      <c r="A44">
        <f>IFERROR(INDEX(tblLearners[Learner_ID],ROW()-1),"")</f>
        <v/>
      </c>
      <c r="B44">
        <f>IF(A44="","",XLOOKUP(A44,tblLearners[Learner_ID],tblLearners[Stage],""))</f>
        <v/>
      </c>
      <c r="C44">
        <f>IF(A44="","",XLOOKUP(A44,tblLearners[Learner_ID],tblLearners[Rotation],""))</f>
        <v/>
      </c>
      <c r="D44">
        <f>IF(A44="",0,COUNTIF(tblObs[Learner_ID],A44))</f>
        <v/>
      </c>
      <c r="E44">
        <f>IF(A44="",0,COUNTA(UNIQUE(FILTER(tblObs[EPA_ID],tblObs[Learner_ID]=A44))))</f>
        <v/>
      </c>
      <c r="F44">
        <f>IF(A44="",0,COUNTIFS(tblObs[Learner_ID],A44,tblObs[Flag],1))</f>
        <v/>
      </c>
      <c r="G44">
        <f>IF(A44="",0,COUNTIFS(tblObs[Learner_ID],A44,tblObs[Date],"&gt;="&amp;TODAY()-56))</f>
        <v/>
      </c>
      <c r="H44">
        <f>IF(A44="",0,LET(t,COUNTIF(tblObs[Learner_ID],A44),w,COUNTIFS(tblObs[Learner_ID],A44,tblObs[Narrative_Positive],"&lt;&gt;")+COUNTIFS(tblObs[Learner_ID],A44,tblObs[Narrative_Improve],"&lt;&gt;"),IF(t=0,0,MIN(1,w/t))))</f>
        <v/>
      </c>
      <c r="I44">
        <f>IF(A44="","",IF(F44&gt;0,"Red",IF(G44&lt;2,"Data action",IF(E44&lt;6,"Amber","Green"))))</f>
        <v/>
      </c>
    </row>
    <row r="45">
      <c r="A45">
        <f>IFERROR(INDEX(tblLearners[Learner_ID],ROW()-1),"")</f>
        <v/>
      </c>
      <c r="B45">
        <f>IF(A45="","",XLOOKUP(A45,tblLearners[Learner_ID],tblLearners[Stage],""))</f>
        <v/>
      </c>
      <c r="C45">
        <f>IF(A45="","",XLOOKUP(A45,tblLearners[Learner_ID],tblLearners[Rotation],""))</f>
        <v/>
      </c>
      <c r="D45">
        <f>IF(A45="",0,COUNTIF(tblObs[Learner_ID],A45))</f>
        <v/>
      </c>
      <c r="E45">
        <f>IF(A45="",0,COUNTA(UNIQUE(FILTER(tblObs[EPA_ID],tblObs[Learner_ID]=A45))))</f>
        <v/>
      </c>
      <c r="F45">
        <f>IF(A45="",0,COUNTIFS(tblObs[Learner_ID],A45,tblObs[Flag],1))</f>
        <v/>
      </c>
      <c r="G45">
        <f>IF(A45="",0,COUNTIFS(tblObs[Learner_ID],A45,tblObs[Date],"&gt;="&amp;TODAY()-56))</f>
        <v/>
      </c>
      <c r="H45">
        <f>IF(A45="",0,LET(t,COUNTIF(tblObs[Learner_ID],A45),w,COUNTIFS(tblObs[Learner_ID],A45,tblObs[Narrative_Positive],"&lt;&gt;")+COUNTIFS(tblObs[Learner_ID],A45,tblObs[Narrative_Improve],"&lt;&gt;"),IF(t=0,0,MIN(1,w/t))))</f>
        <v/>
      </c>
      <c r="I45">
        <f>IF(A45="","",IF(F45&gt;0,"Red",IF(G45&lt;2,"Data action",IF(E45&lt;6,"Amber","Green"))))</f>
        <v/>
      </c>
    </row>
    <row r="46">
      <c r="A46">
        <f>IFERROR(INDEX(tblLearners[Learner_ID],ROW()-1),"")</f>
        <v/>
      </c>
      <c r="B46">
        <f>IF(A46="","",XLOOKUP(A46,tblLearners[Learner_ID],tblLearners[Stage],""))</f>
        <v/>
      </c>
      <c r="C46">
        <f>IF(A46="","",XLOOKUP(A46,tblLearners[Learner_ID],tblLearners[Rotation],""))</f>
        <v/>
      </c>
      <c r="D46">
        <f>IF(A46="",0,COUNTIF(tblObs[Learner_ID],A46))</f>
        <v/>
      </c>
      <c r="E46">
        <f>IF(A46="",0,COUNTA(UNIQUE(FILTER(tblObs[EPA_ID],tblObs[Learner_ID]=A46))))</f>
        <v/>
      </c>
      <c r="F46">
        <f>IF(A46="",0,COUNTIFS(tblObs[Learner_ID],A46,tblObs[Flag],1))</f>
        <v/>
      </c>
      <c r="G46">
        <f>IF(A46="",0,COUNTIFS(tblObs[Learner_ID],A46,tblObs[Date],"&gt;="&amp;TODAY()-56))</f>
        <v/>
      </c>
      <c r="H46">
        <f>IF(A46="",0,LET(t,COUNTIF(tblObs[Learner_ID],A46),w,COUNTIFS(tblObs[Learner_ID],A46,tblObs[Narrative_Positive],"&lt;&gt;")+COUNTIFS(tblObs[Learner_ID],A46,tblObs[Narrative_Improve],"&lt;&gt;"),IF(t=0,0,MIN(1,w/t))))</f>
        <v/>
      </c>
      <c r="I46">
        <f>IF(A46="","",IF(F46&gt;0,"Red",IF(G46&lt;2,"Data action",IF(E46&lt;6,"Amber","Green"))))</f>
        <v/>
      </c>
    </row>
    <row r="47">
      <c r="A47">
        <f>IFERROR(INDEX(tblLearners[Learner_ID],ROW()-1),"")</f>
        <v/>
      </c>
      <c r="B47">
        <f>IF(A47="","",XLOOKUP(A47,tblLearners[Learner_ID],tblLearners[Stage],""))</f>
        <v/>
      </c>
      <c r="C47">
        <f>IF(A47="","",XLOOKUP(A47,tblLearners[Learner_ID],tblLearners[Rotation],""))</f>
        <v/>
      </c>
      <c r="D47">
        <f>IF(A47="",0,COUNTIF(tblObs[Learner_ID],A47))</f>
        <v/>
      </c>
      <c r="E47">
        <f>IF(A47="",0,COUNTA(UNIQUE(FILTER(tblObs[EPA_ID],tblObs[Learner_ID]=A47))))</f>
        <v/>
      </c>
      <c r="F47">
        <f>IF(A47="",0,COUNTIFS(tblObs[Learner_ID],A47,tblObs[Flag],1))</f>
        <v/>
      </c>
      <c r="G47">
        <f>IF(A47="",0,COUNTIFS(tblObs[Learner_ID],A47,tblObs[Date],"&gt;="&amp;TODAY()-56))</f>
        <v/>
      </c>
      <c r="H47">
        <f>IF(A47="",0,LET(t,COUNTIF(tblObs[Learner_ID],A47),w,COUNTIFS(tblObs[Learner_ID],A47,tblObs[Narrative_Positive],"&lt;&gt;")+COUNTIFS(tblObs[Learner_ID],A47,tblObs[Narrative_Improve],"&lt;&gt;"),IF(t=0,0,MIN(1,w/t))))</f>
        <v/>
      </c>
      <c r="I47">
        <f>IF(A47="","",IF(F47&gt;0,"Red",IF(G47&lt;2,"Data action",IF(E47&lt;6,"Amber","Green"))))</f>
        <v/>
      </c>
    </row>
    <row r="48">
      <c r="A48">
        <f>IFERROR(INDEX(tblLearners[Learner_ID],ROW()-1),"")</f>
        <v/>
      </c>
      <c r="B48">
        <f>IF(A48="","",XLOOKUP(A48,tblLearners[Learner_ID],tblLearners[Stage],""))</f>
        <v/>
      </c>
      <c r="C48">
        <f>IF(A48="","",XLOOKUP(A48,tblLearners[Learner_ID],tblLearners[Rotation],""))</f>
        <v/>
      </c>
      <c r="D48">
        <f>IF(A48="",0,COUNTIF(tblObs[Learner_ID],A48))</f>
        <v/>
      </c>
      <c r="E48">
        <f>IF(A48="",0,COUNTA(UNIQUE(FILTER(tblObs[EPA_ID],tblObs[Learner_ID]=A48))))</f>
        <v/>
      </c>
      <c r="F48">
        <f>IF(A48="",0,COUNTIFS(tblObs[Learner_ID],A48,tblObs[Flag],1))</f>
        <v/>
      </c>
      <c r="G48">
        <f>IF(A48="",0,COUNTIFS(tblObs[Learner_ID],A48,tblObs[Date],"&gt;="&amp;TODAY()-56))</f>
        <v/>
      </c>
      <c r="H48">
        <f>IF(A48="",0,LET(t,COUNTIF(tblObs[Learner_ID],A48),w,COUNTIFS(tblObs[Learner_ID],A48,tblObs[Narrative_Positive],"&lt;&gt;")+COUNTIFS(tblObs[Learner_ID],A48,tblObs[Narrative_Improve],"&lt;&gt;"),IF(t=0,0,MIN(1,w/t))))</f>
        <v/>
      </c>
      <c r="I48">
        <f>IF(A48="","",IF(F48&gt;0,"Red",IF(G48&lt;2,"Data action",IF(E48&lt;6,"Amber","Green"))))</f>
        <v/>
      </c>
    </row>
    <row r="49">
      <c r="A49">
        <f>IFERROR(INDEX(tblLearners[Learner_ID],ROW()-1),"")</f>
        <v/>
      </c>
      <c r="B49">
        <f>IF(A49="","",XLOOKUP(A49,tblLearners[Learner_ID],tblLearners[Stage],""))</f>
        <v/>
      </c>
      <c r="C49">
        <f>IF(A49="","",XLOOKUP(A49,tblLearners[Learner_ID],tblLearners[Rotation],""))</f>
        <v/>
      </c>
      <c r="D49">
        <f>IF(A49="",0,COUNTIF(tblObs[Learner_ID],A49))</f>
        <v/>
      </c>
      <c r="E49">
        <f>IF(A49="",0,COUNTA(UNIQUE(FILTER(tblObs[EPA_ID],tblObs[Learner_ID]=A49))))</f>
        <v/>
      </c>
      <c r="F49">
        <f>IF(A49="",0,COUNTIFS(tblObs[Learner_ID],A49,tblObs[Flag],1))</f>
        <v/>
      </c>
      <c r="G49">
        <f>IF(A49="",0,COUNTIFS(tblObs[Learner_ID],A49,tblObs[Date],"&gt;="&amp;TODAY()-56))</f>
        <v/>
      </c>
      <c r="H49">
        <f>IF(A49="",0,LET(t,COUNTIF(tblObs[Learner_ID],A49),w,COUNTIFS(tblObs[Learner_ID],A49,tblObs[Narrative_Positive],"&lt;&gt;")+COUNTIFS(tblObs[Learner_ID],A49,tblObs[Narrative_Improve],"&lt;&gt;"),IF(t=0,0,MIN(1,w/t))))</f>
        <v/>
      </c>
      <c r="I49">
        <f>IF(A49="","",IF(F49&gt;0,"Red",IF(G49&lt;2,"Data action",IF(E49&lt;6,"Amber","Green"))))</f>
        <v/>
      </c>
    </row>
    <row r="50">
      <c r="A50">
        <f>IFERROR(INDEX(tblLearners[Learner_ID],ROW()-1),"")</f>
        <v/>
      </c>
      <c r="B50">
        <f>IF(A50="","",XLOOKUP(A50,tblLearners[Learner_ID],tblLearners[Stage],""))</f>
        <v/>
      </c>
      <c r="C50">
        <f>IF(A50="","",XLOOKUP(A50,tblLearners[Learner_ID],tblLearners[Rotation],""))</f>
        <v/>
      </c>
      <c r="D50">
        <f>IF(A50="",0,COUNTIF(tblObs[Learner_ID],A50))</f>
        <v/>
      </c>
      <c r="E50">
        <f>IF(A50="",0,COUNTA(UNIQUE(FILTER(tblObs[EPA_ID],tblObs[Learner_ID]=A50))))</f>
        <v/>
      </c>
      <c r="F50">
        <f>IF(A50="",0,COUNTIFS(tblObs[Learner_ID],A50,tblObs[Flag],1))</f>
        <v/>
      </c>
      <c r="G50">
        <f>IF(A50="",0,COUNTIFS(tblObs[Learner_ID],A50,tblObs[Date],"&gt;="&amp;TODAY()-56))</f>
        <v/>
      </c>
      <c r="H50">
        <f>IF(A50="",0,LET(t,COUNTIF(tblObs[Learner_ID],A50),w,COUNTIFS(tblObs[Learner_ID],A50,tblObs[Narrative_Positive],"&lt;&gt;")+COUNTIFS(tblObs[Learner_ID],A50,tblObs[Narrative_Improve],"&lt;&gt;"),IF(t=0,0,MIN(1,w/t))))</f>
        <v/>
      </c>
      <c r="I50">
        <f>IF(A50="","",IF(F50&gt;0,"Red",IF(G50&lt;2,"Data action",IF(E50&lt;6,"Amber","Green"))))</f>
        <v/>
      </c>
    </row>
    <row r="51">
      <c r="A51">
        <f>IFERROR(INDEX(tblLearners[Learner_ID],ROW()-1),"")</f>
        <v/>
      </c>
      <c r="B51">
        <f>IF(A51="","",XLOOKUP(A51,tblLearners[Learner_ID],tblLearners[Stage],""))</f>
        <v/>
      </c>
      <c r="C51">
        <f>IF(A51="","",XLOOKUP(A51,tblLearners[Learner_ID],tblLearners[Rotation],""))</f>
        <v/>
      </c>
      <c r="D51">
        <f>IF(A51="",0,COUNTIF(tblObs[Learner_ID],A51))</f>
        <v/>
      </c>
      <c r="E51">
        <f>IF(A51="",0,COUNTA(UNIQUE(FILTER(tblObs[EPA_ID],tblObs[Learner_ID]=A51))))</f>
        <v/>
      </c>
      <c r="F51">
        <f>IF(A51="",0,COUNTIFS(tblObs[Learner_ID],A51,tblObs[Flag],1))</f>
        <v/>
      </c>
      <c r="G51">
        <f>IF(A51="",0,COUNTIFS(tblObs[Learner_ID],A51,tblObs[Date],"&gt;="&amp;TODAY()-56))</f>
        <v/>
      </c>
      <c r="H51">
        <f>IF(A51="",0,LET(t,COUNTIF(tblObs[Learner_ID],A51),w,COUNTIFS(tblObs[Learner_ID],A51,tblObs[Narrative_Positive],"&lt;&gt;")+COUNTIFS(tblObs[Learner_ID],A51,tblObs[Narrative_Improve],"&lt;&gt;"),IF(t=0,0,MIN(1,w/t))))</f>
        <v/>
      </c>
      <c r="I51">
        <f>IF(A51="","",IF(F51&gt;0,"Red",IF(G51&lt;2,"Data action",IF(E51&lt;6,"Amber","Green"))))</f>
        <v/>
      </c>
    </row>
    <row r="52">
      <c r="A52">
        <f>IFERROR(INDEX(tblLearners[Learner_ID],ROW()-1),"")</f>
        <v/>
      </c>
      <c r="B52">
        <f>IF(A52="","",XLOOKUP(A52,tblLearners[Learner_ID],tblLearners[Stage],""))</f>
        <v/>
      </c>
      <c r="C52">
        <f>IF(A52="","",XLOOKUP(A52,tblLearners[Learner_ID],tblLearners[Rotation],""))</f>
        <v/>
      </c>
      <c r="D52">
        <f>IF(A52="",0,COUNTIF(tblObs[Learner_ID],A52))</f>
        <v/>
      </c>
      <c r="E52">
        <f>IF(A52="",0,COUNTA(UNIQUE(FILTER(tblObs[EPA_ID],tblObs[Learner_ID]=A52))))</f>
        <v/>
      </c>
      <c r="F52">
        <f>IF(A52="",0,COUNTIFS(tblObs[Learner_ID],A52,tblObs[Flag],1))</f>
        <v/>
      </c>
      <c r="G52">
        <f>IF(A52="",0,COUNTIFS(tblObs[Learner_ID],A52,tblObs[Date],"&gt;="&amp;TODAY()-56))</f>
        <v/>
      </c>
      <c r="H52">
        <f>IF(A52="",0,LET(t,COUNTIF(tblObs[Learner_ID],A52),w,COUNTIFS(tblObs[Learner_ID],A52,tblObs[Narrative_Positive],"&lt;&gt;")+COUNTIFS(tblObs[Learner_ID],A52,tblObs[Narrative_Improve],"&lt;&gt;"),IF(t=0,0,MIN(1,w/t))))</f>
        <v/>
      </c>
      <c r="I52">
        <f>IF(A52="","",IF(F52&gt;0,"Red",IF(G52&lt;2,"Data action",IF(E52&lt;6,"Amber","Green"))))</f>
        <v/>
      </c>
    </row>
    <row r="53">
      <c r="A53">
        <f>IFERROR(INDEX(tblLearners[Learner_ID],ROW()-1),"")</f>
        <v/>
      </c>
      <c r="B53">
        <f>IF(A53="","",XLOOKUP(A53,tblLearners[Learner_ID],tblLearners[Stage],""))</f>
        <v/>
      </c>
      <c r="C53">
        <f>IF(A53="","",XLOOKUP(A53,tblLearners[Learner_ID],tblLearners[Rotation],""))</f>
        <v/>
      </c>
      <c r="D53">
        <f>IF(A53="",0,COUNTIF(tblObs[Learner_ID],A53))</f>
        <v/>
      </c>
      <c r="E53">
        <f>IF(A53="",0,COUNTA(UNIQUE(FILTER(tblObs[EPA_ID],tblObs[Learner_ID]=A53))))</f>
        <v/>
      </c>
      <c r="F53">
        <f>IF(A53="",0,COUNTIFS(tblObs[Learner_ID],A53,tblObs[Flag],1))</f>
        <v/>
      </c>
      <c r="G53">
        <f>IF(A53="",0,COUNTIFS(tblObs[Learner_ID],A53,tblObs[Date],"&gt;="&amp;TODAY()-56))</f>
        <v/>
      </c>
      <c r="H53">
        <f>IF(A53="",0,LET(t,COUNTIF(tblObs[Learner_ID],A53),w,COUNTIFS(tblObs[Learner_ID],A53,tblObs[Narrative_Positive],"&lt;&gt;")+COUNTIFS(tblObs[Learner_ID],A53,tblObs[Narrative_Improve],"&lt;&gt;"),IF(t=0,0,MIN(1,w/t))))</f>
        <v/>
      </c>
      <c r="I53">
        <f>IF(A53="","",IF(F53&gt;0,"Red",IF(G53&lt;2,"Data action",IF(E53&lt;6,"Amber","Green"))))</f>
        <v/>
      </c>
    </row>
    <row r="54">
      <c r="A54">
        <f>IFERROR(INDEX(tblLearners[Learner_ID],ROW()-1),"")</f>
        <v/>
      </c>
      <c r="B54">
        <f>IF(A54="","",XLOOKUP(A54,tblLearners[Learner_ID],tblLearners[Stage],""))</f>
        <v/>
      </c>
      <c r="C54">
        <f>IF(A54="","",XLOOKUP(A54,tblLearners[Learner_ID],tblLearners[Rotation],""))</f>
        <v/>
      </c>
      <c r="D54">
        <f>IF(A54="",0,COUNTIF(tblObs[Learner_ID],A54))</f>
        <v/>
      </c>
      <c r="E54">
        <f>IF(A54="",0,COUNTA(UNIQUE(FILTER(tblObs[EPA_ID],tblObs[Learner_ID]=A54))))</f>
        <v/>
      </c>
      <c r="F54">
        <f>IF(A54="",0,COUNTIFS(tblObs[Learner_ID],A54,tblObs[Flag],1))</f>
        <v/>
      </c>
      <c r="G54">
        <f>IF(A54="",0,COUNTIFS(tblObs[Learner_ID],A54,tblObs[Date],"&gt;="&amp;TODAY()-56))</f>
        <v/>
      </c>
      <c r="H54">
        <f>IF(A54="",0,LET(t,COUNTIF(tblObs[Learner_ID],A54),w,COUNTIFS(tblObs[Learner_ID],A54,tblObs[Narrative_Positive],"&lt;&gt;")+COUNTIFS(tblObs[Learner_ID],A54,tblObs[Narrative_Improve],"&lt;&gt;"),IF(t=0,0,MIN(1,w/t))))</f>
        <v/>
      </c>
      <c r="I54">
        <f>IF(A54="","",IF(F54&gt;0,"Red",IF(G54&lt;2,"Data action",IF(E54&lt;6,"Amber","Green"))))</f>
        <v/>
      </c>
    </row>
    <row r="55">
      <c r="A55">
        <f>IFERROR(INDEX(tblLearners[Learner_ID],ROW()-1),"")</f>
        <v/>
      </c>
      <c r="B55">
        <f>IF(A55="","",XLOOKUP(A55,tblLearners[Learner_ID],tblLearners[Stage],""))</f>
        <v/>
      </c>
      <c r="C55">
        <f>IF(A55="","",XLOOKUP(A55,tblLearners[Learner_ID],tblLearners[Rotation],""))</f>
        <v/>
      </c>
      <c r="D55">
        <f>IF(A55="",0,COUNTIF(tblObs[Learner_ID],A55))</f>
        <v/>
      </c>
      <c r="E55">
        <f>IF(A55="",0,COUNTA(UNIQUE(FILTER(tblObs[EPA_ID],tblObs[Learner_ID]=A55))))</f>
        <v/>
      </c>
      <c r="F55">
        <f>IF(A55="",0,COUNTIFS(tblObs[Learner_ID],A55,tblObs[Flag],1))</f>
        <v/>
      </c>
      <c r="G55">
        <f>IF(A55="",0,COUNTIFS(tblObs[Learner_ID],A55,tblObs[Date],"&gt;="&amp;TODAY()-56))</f>
        <v/>
      </c>
      <c r="H55">
        <f>IF(A55="",0,LET(t,COUNTIF(tblObs[Learner_ID],A55),w,COUNTIFS(tblObs[Learner_ID],A55,tblObs[Narrative_Positive],"&lt;&gt;")+COUNTIFS(tblObs[Learner_ID],A55,tblObs[Narrative_Improve],"&lt;&gt;"),IF(t=0,0,MIN(1,w/t))))</f>
        <v/>
      </c>
      <c r="I55">
        <f>IF(A55="","",IF(F55&gt;0,"Red",IF(G55&lt;2,"Data action",IF(E55&lt;6,"Amber","Green"))))</f>
        <v/>
      </c>
    </row>
    <row r="56">
      <c r="A56">
        <f>IFERROR(INDEX(tblLearners[Learner_ID],ROW()-1),"")</f>
        <v/>
      </c>
      <c r="B56">
        <f>IF(A56="","",XLOOKUP(A56,tblLearners[Learner_ID],tblLearners[Stage],""))</f>
        <v/>
      </c>
      <c r="C56">
        <f>IF(A56="","",XLOOKUP(A56,tblLearners[Learner_ID],tblLearners[Rotation],""))</f>
        <v/>
      </c>
      <c r="D56">
        <f>IF(A56="",0,COUNTIF(tblObs[Learner_ID],A56))</f>
        <v/>
      </c>
      <c r="E56">
        <f>IF(A56="",0,COUNTA(UNIQUE(FILTER(tblObs[EPA_ID],tblObs[Learner_ID]=A56))))</f>
        <v/>
      </c>
      <c r="F56">
        <f>IF(A56="",0,COUNTIFS(tblObs[Learner_ID],A56,tblObs[Flag],1))</f>
        <v/>
      </c>
      <c r="G56">
        <f>IF(A56="",0,COUNTIFS(tblObs[Learner_ID],A56,tblObs[Date],"&gt;="&amp;TODAY()-56))</f>
        <v/>
      </c>
      <c r="H56">
        <f>IF(A56="",0,LET(t,COUNTIF(tblObs[Learner_ID],A56),w,COUNTIFS(tblObs[Learner_ID],A56,tblObs[Narrative_Positive],"&lt;&gt;")+COUNTIFS(tblObs[Learner_ID],A56,tblObs[Narrative_Improve],"&lt;&gt;"),IF(t=0,0,MIN(1,w/t))))</f>
        <v/>
      </c>
      <c r="I56">
        <f>IF(A56="","",IF(F56&gt;0,"Red",IF(G56&lt;2,"Data action",IF(E56&lt;6,"Amber","Green"))))</f>
        <v/>
      </c>
    </row>
    <row r="57">
      <c r="A57">
        <f>IFERROR(INDEX(tblLearners[Learner_ID],ROW()-1),"")</f>
        <v/>
      </c>
      <c r="B57">
        <f>IF(A57="","",XLOOKUP(A57,tblLearners[Learner_ID],tblLearners[Stage],""))</f>
        <v/>
      </c>
      <c r="C57">
        <f>IF(A57="","",XLOOKUP(A57,tblLearners[Learner_ID],tblLearners[Rotation],""))</f>
        <v/>
      </c>
      <c r="D57">
        <f>IF(A57="",0,COUNTIF(tblObs[Learner_ID],A57))</f>
        <v/>
      </c>
      <c r="E57">
        <f>IF(A57="",0,COUNTA(UNIQUE(FILTER(tblObs[EPA_ID],tblObs[Learner_ID]=A57))))</f>
        <v/>
      </c>
      <c r="F57">
        <f>IF(A57="",0,COUNTIFS(tblObs[Learner_ID],A57,tblObs[Flag],1))</f>
        <v/>
      </c>
      <c r="G57">
        <f>IF(A57="",0,COUNTIFS(tblObs[Learner_ID],A57,tblObs[Date],"&gt;="&amp;TODAY()-56))</f>
        <v/>
      </c>
      <c r="H57">
        <f>IF(A57="",0,LET(t,COUNTIF(tblObs[Learner_ID],A57),w,COUNTIFS(tblObs[Learner_ID],A57,tblObs[Narrative_Positive],"&lt;&gt;")+COUNTIFS(tblObs[Learner_ID],A57,tblObs[Narrative_Improve],"&lt;&gt;"),IF(t=0,0,MIN(1,w/t))))</f>
        <v/>
      </c>
      <c r="I57">
        <f>IF(A57="","",IF(F57&gt;0,"Red",IF(G57&lt;2,"Data action",IF(E57&lt;6,"Amber","Green"))))</f>
        <v/>
      </c>
    </row>
    <row r="58">
      <c r="A58">
        <f>IFERROR(INDEX(tblLearners[Learner_ID],ROW()-1),"")</f>
        <v/>
      </c>
      <c r="B58">
        <f>IF(A58="","",XLOOKUP(A58,tblLearners[Learner_ID],tblLearners[Stage],""))</f>
        <v/>
      </c>
      <c r="C58">
        <f>IF(A58="","",XLOOKUP(A58,tblLearners[Learner_ID],tblLearners[Rotation],""))</f>
        <v/>
      </c>
      <c r="D58">
        <f>IF(A58="",0,COUNTIF(tblObs[Learner_ID],A58))</f>
        <v/>
      </c>
      <c r="E58">
        <f>IF(A58="",0,COUNTA(UNIQUE(FILTER(tblObs[EPA_ID],tblObs[Learner_ID]=A58))))</f>
        <v/>
      </c>
      <c r="F58">
        <f>IF(A58="",0,COUNTIFS(tblObs[Learner_ID],A58,tblObs[Flag],1))</f>
        <v/>
      </c>
      <c r="G58">
        <f>IF(A58="",0,COUNTIFS(tblObs[Learner_ID],A58,tblObs[Date],"&gt;="&amp;TODAY()-56))</f>
        <v/>
      </c>
      <c r="H58">
        <f>IF(A58="",0,LET(t,COUNTIF(tblObs[Learner_ID],A58),w,COUNTIFS(tblObs[Learner_ID],A58,tblObs[Narrative_Positive],"&lt;&gt;")+COUNTIFS(tblObs[Learner_ID],A58,tblObs[Narrative_Improve],"&lt;&gt;"),IF(t=0,0,MIN(1,w/t))))</f>
        <v/>
      </c>
      <c r="I58">
        <f>IF(A58="","",IF(F58&gt;0,"Red",IF(G58&lt;2,"Data action",IF(E58&lt;6,"Amber","Green"))))</f>
        <v/>
      </c>
    </row>
    <row r="59">
      <c r="A59">
        <f>IFERROR(INDEX(tblLearners[Learner_ID],ROW()-1),"")</f>
        <v/>
      </c>
      <c r="B59">
        <f>IF(A59="","",XLOOKUP(A59,tblLearners[Learner_ID],tblLearners[Stage],""))</f>
        <v/>
      </c>
      <c r="C59">
        <f>IF(A59="","",XLOOKUP(A59,tblLearners[Learner_ID],tblLearners[Rotation],""))</f>
        <v/>
      </c>
      <c r="D59">
        <f>IF(A59="",0,COUNTIF(tblObs[Learner_ID],A59))</f>
        <v/>
      </c>
      <c r="E59">
        <f>IF(A59="",0,COUNTA(UNIQUE(FILTER(tblObs[EPA_ID],tblObs[Learner_ID]=A59))))</f>
        <v/>
      </c>
      <c r="F59">
        <f>IF(A59="",0,COUNTIFS(tblObs[Learner_ID],A59,tblObs[Flag],1))</f>
        <v/>
      </c>
      <c r="G59">
        <f>IF(A59="",0,COUNTIFS(tblObs[Learner_ID],A59,tblObs[Date],"&gt;="&amp;TODAY()-56))</f>
        <v/>
      </c>
      <c r="H59">
        <f>IF(A59="",0,LET(t,COUNTIF(tblObs[Learner_ID],A59),w,COUNTIFS(tblObs[Learner_ID],A59,tblObs[Narrative_Positive],"&lt;&gt;")+COUNTIFS(tblObs[Learner_ID],A59,tblObs[Narrative_Improve],"&lt;&gt;"),IF(t=0,0,MIN(1,w/t))))</f>
        <v/>
      </c>
      <c r="I59">
        <f>IF(A59="","",IF(F59&gt;0,"Red",IF(G59&lt;2,"Data action",IF(E59&lt;6,"Amber","Green"))))</f>
        <v/>
      </c>
    </row>
    <row r="60">
      <c r="A60">
        <f>IFERROR(INDEX(tblLearners[Learner_ID],ROW()-1),"")</f>
        <v/>
      </c>
      <c r="B60">
        <f>IF(A60="","",XLOOKUP(A60,tblLearners[Learner_ID],tblLearners[Stage],""))</f>
        <v/>
      </c>
      <c r="C60">
        <f>IF(A60="","",XLOOKUP(A60,tblLearners[Learner_ID],tblLearners[Rotation],""))</f>
        <v/>
      </c>
      <c r="D60">
        <f>IF(A60="",0,COUNTIF(tblObs[Learner_ID],A60))</f>
        <v/>
      </c>
      <c r="E60">
        <f>IF(A60="",0,COUNTA(UNIQUE(FILTER(tblObs[EPA_ID],tblObs[Learner_ID]=A60))))</f>
        <v/>
      </c>
      <c r="F60">
        <f>IF(A60="",0,COUNTIFS(tblObs[Learner_ID],A60,tblObs[Flag],1))</f>
        <v/>
      </c>
      <c r="G60">
        <f>IF(A60="",0,COUNTIFS(tblObs[Learner_ID],A60,tblObs[Date],"&gt;="&amp;TODAY()-56))</f>
        <v/>
      </c>
      <c r="H60">
        <f>IF(A60="",0,LET(t,COUNTIF(tblObs[Learner_ID],A60),w,COUNTIFS(tblObs[Learner_ID],A60,tblObs[Narrative_Positive],"&lt;&gt;")+COUNTIFS(tblObs[Learner_ID],A60,tblObs[Narrative_Improve],"&lt;&gt;"),IF(t=0,0,MIN(1,w/t))))</f>
        <v/>
      </c>
      <c r="I60">
        <f>IF(A60="","",IF(F60&gt;0,"Red",IF(G60&lt;2,"Data action",IF(E60&lt;6,"Amber","Green"))))</f>
        <v/>
      </c>
    </row>
    <row r="61">
      <c r="A61">
        <f>IFERROR(INDEX(tblLearners[Learner_ID],ROW()-1),"")</f>
        <v/>
      </c>
      <c r="B61">
        <f>IF(A61="","",XLOOKUP(A61,tblLearners[Learner_ID],tblLearners[Stage],""))</f>
        <v/>
      </c>
      <c r="C61">
        <f>IF(A61="","",XLOOKUP(A61,tblLearners[Learner_ID],tblLearners[Rotation],""))</f>
        <v/>
      </c>
      <c r="D61">
        <f>IF(A61="",0,COUNTIF(tblObs[Learner_ID],A61))</f>
        <v/>
      </c>
      <c r="E61">
        <f>IF(A61="",0,COUNTA(UNIQUE(FILTER(tblObs[EPA_ID],tblObs[Learner_ID]=A61))))</f>
        <v/>
      </c>
      <c r="F61">
        <f>IF(A61="",0,COUNTIFS(tblObs[Learner_ID],A61,tblObs[Flag],1))</f>
        <v/>
      </c>
      <c r="G61">
        <f>IF(A61="",0,COUNTIFS(tblObs[Learner_ID],A61,tblObs[Date],"&gt;="&amp;TODAY()-56))</f>
        <v/>
      </c>
      <c r="H61">
        <f>IF(A61="",0,LET(t,COUNTIF(tblObs[Learner_ID],A61),w,COUNTIFS(tblObs[Learner_ID],A61,tblObs[Narrative_Positive],"&lt;&gt;")+COUNTIFS(tblObs[Learner_ID],A61,tblObs[Narrative_Improve],"&lt;&gt;"),IF(t=0,0,MIN(1,w/t))))</f>
        <v/>
      </c>
      <c r="I61">
        <f>IF(A61="","",IF(F61&gt;0,"Red",IF(G61&lt;2,"Data action",IF(E61&lt;6,"Amber","Green"))))</f>
        <v/>
      </c>
    </row>
  </sheetData>
  <conditionalFormatting sqref="I2:I61">
    <cfRule type="expression" priority="1" dxfId="0">
      <formula>I2="Red"</formula>
    </cfRule>
    <cfRule type="expression" priority="2" dxfId="1">
      <formula>I2="Amber"</formula>
    </cfRule>
    <cfRule type="expression" priority="3" dxfId="2">
      <formula>I2="Green"</formula>
    </cfRule>
    <cfRule type="expression" priority="4" dxfId="3">
      <formula>I2="Data action"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7" t="inlineStr">
        <is>
          <t>EPA Progress (Average entrustment &amp; count)</t>
        </is>
      </c>
    </row>
    <row r="3">
      <c r="A3" s="5" t="inlineStr">
        <is>
          <t>Learner_ID</t>
        </is>
      </c>
      <c r="B3" s="5">
        <f>IFERROR(INDEX(tblEPAs[EPA_ID],1),"")</f>
        <v/>
      </c>
      <c r="C3" s="5">
        <f>IFERROR(INDEX(tblEPAs[EPA_ID],2),"")</f>
        <v/>
      </c>
      <c r="D3" s="5">
        <f>IFERROR(INDEX(tblEPAs[EPA_ID],3),"")</f>
        <v/>
      </c>
      <c r="E3" s="5">
        <f>IFERROR(INDEX(tblEPAs[EPA_ID],4),"")</f>
        <v/>
      </c>
      <c r="F3" s="5">
        <f>IFERROR(INDEX(tblEPAs[EPA_ID],5),"")</f>
        <v/>
      </c>
      <c r="G3" s="5">
        <f>IFERROR(INDEX(tblEPAs[EPA_ID],6),"")</f>
        <v/>
      </c>
      <c r="H3" s="5">
        <f>IFERROR(INDEX(tblEPAs[EPA_ID],7),"")</f>
        <v/>
      </c>
      <c r="I3" s="5">
        <f>IFERROR(INDEX(tblEPAs[EPA_ID],8),"")</f>
        <v/>
      </c>
      <c r="J3" s="5">
        <f>IFERROR(INDEX(tblEPAs[EPA_ID],9),"")</f>
        <v/>
      </c>
      <c r="K3" s="5">
        <f>IFERROR(INDEX(tblEPAs[EPA_ID],10),"")</f>
        <v/>
      </c>
      <c r="L3" s="5">
        <f>IFERROR(INDEX(tblEPAs[EPA_ID],11),"")</f>
        <v/>
      </c>
      <c r="M3" s="5">
        <f>IFERROR(INDEX(tblEPAs[EPA_ID],12),"")</f>
        <v/>
      </c>
    </row>
    <row r="4">
      <c r="A4">
        <f>IFERROR(INDEX(tblLearners[Learner_ID],ROW()-3),"")</f>
        <v/>
      </c>
      <c r="B4" s="8">
        <f>IF(OR(A4="",B3=""),"",LET(a,AVERAGEIFS(tblObs[Entrustment_Level],tblObs[Learner_ID],A4,tblObs[EPA_ID],B3),n,COUNTIFS(tblObs[Learner_ID],A4,tblObs[EPA_ID],B3),IF(n=0,"",TEXT(a,"0.0")&amp;" (n="&amp;n&amp;")")))</f>
        <v/>
      </c>
      <c r="C4" s="8">
        <f>IF(OR(A4="",C3=""),"",LET(a,AVERAGEIFS(tblObs[Entrustment_Level],tblObs[Learner_ID],A4,tblObs[EPA_ID],C3),n,COUNTIFS(tblObs[Learner_ID],A4,tblObs[EPA_ID],C3),IF(n=0,"",TEXT(a,"0.0")&amp;" (n="&amp;n&amp;")")))</f>
        <v/>
      </c>
      <c r="D4" s="8">
        <f>IF(OR(A4="",D3=""),"",LET(a,AVERAGEIFS(tblObs[Entrustment_Level],tblObs[Learner_ID],A4,tblObs[EPA_ID],D3),n,COUNTIFS(tblObs[Learner_ID],A4,tblObs[EPA_ID],D3),IF(n=0,"",TEXT(a,"0.0")&amp;" (n="&amp;n&amp;")")))</f>
        <v/>
      </c>
      <c r="E4" s="8">
        <f>IF(OR(A4="",E3=""),"",LET(a,AVERAGEIFS(tblObs[Entrustment_Level],tblObs[Learner_ID],A4,tblObs[EPA_ID],E3),n,COUNTIFS(tblObs[Learner_ID],A4,tblObs[EPA_ID],E3),IF(n=0,"",TEXT(a,"0.0")&amp;" (n="&amp;n&amp;")")))</f>
        <v/>
      </c>
      <c r="F4" s="8">
        <f>IF(OR(A4="",F3=""),"",LET(a,AVERAGEIFS(tblObs[Entrustment_Level],tblObs[Learner_ID],A4,tblObs[EPA_ID],F3),n,COUNTIFS(tblObs[Learner_ID],A4,tblObs[EPA_ID],F3),IF(n=0,"",TEXT(a,"0.0")&amp;" (n="&amp;n&amp;")")))</f>
        <v/>
      </c>
      <c r="G4" s="8">
        <f>IF(OR(A4="",G3=""),"",LET(a,AVERAGEIFS(tblObs[Entrustment_Level],tblObs[Learner_ID],A4,tblObs[EPA_ID],G3),n,COUNTIFS(tblObs[Learner_ID],A4,tblObs[EPA_ID],G3),IF(n=0,"",TEXT(a,"0.0")&amp;" (n="&amp;n&amp;")")))</f>
        <v/>
      </c>
      <c r="H4" s="8">
        <f>IF(OR(A4="",H3=""),"",LET(a,AVERAGEIFS(tblObs[Entrustment_Level],tblObs[Learner_ID],A4,tblObs[EPA_ID],H3),n,COUNTIFS(tblObs[Learner_ID],A4,tblObs[EPA_ID],H3),IF(n=0,"",TEXT(a,"0.0")&amp;" (n="&amp;n&amp;")")))</f>
        <v/>
      </c>
      <c r="I4" s="8">
        <f>IF(OR(A4="",I3=""),"",LET(a,AVERAGEIFS(tblObs[Entrustment_Level],tblObs[Learner_ID],A4,tblObs[EPA_ID],I3),n,COUNTIFS(tblObs[Learner_ID],A4,tblObs[EPA_ID],I3),IF(n=0,"",TEXT(a,"0.0")&amp;" (n="&amp;n&amp;")")))</f>
        <v/>
      </c>
      <c r="J4" s="8">
        <f>IF(OR(A4="",J3=""),"",LET(a,AVERAGEIFS(tblObs[Entrustment_Level],tblObs[Learner_ID],A4,tblObs[EPA_ID],J3),n,COUNTIFS(tblObs[Learner_ID],A4,tblObs[EPA_ID],J3),IF(n=0,"",TEXT(a,"0.0")&amp;" (n="&amp;n&amp;")")))</f>
        <v/>
      </c>
      <c r="K4" s="8">
        <f>IF(OR(A4="",K3=""),"",LET(a,AVERAGEIFS(tblObs[Entrustment_Level],tblObs[Learner_ID],A4,tblObs[EPA_ID],K3),n,COUNTIFS(tblObs[Learner_ID],A4,tblObs[EPA_ID],K3),IF(n=0,"",TEXT(a,"0.0")&amp;" (n="&amp;n&amp;")")))</f>
        <v/>
      </c>
      <c r="L4" s="8">
        <f>IF(OR(A4="",L3=""),"",LET(a,AVERAGEIFS(tblObs[Entrustment_Level],tblObs[Learner_ID],A4,tblObs[EPA_ID],L3),n,COUNTIFS(tblObs[Learner_ID],A4,tblObs[EPA_ID],L3),IF(n=0,"",TEXT(a,"0.0")&amp;" (n="&amp;n&amp;")")))</f>
        <v/>
      </c>
      <c r="M4" s="8">
        <f>IF(OR(A4="",M3=""),"",LET(a,AVERAGEIFS(tblObs[Entrustment_Level],tblObs[Learner_ID],A4,tblObs[EPA_ID],M3),n,COUNTIFS(tblObs[Learner_ID],A4,tblObs[EPA_ID],M3),IF(n=0,"",TEXT(a,"0.0")&amp;" (n="&amp;n&amp;")")))</f>
        <v/>
      </c>
    </row>
    <row r="5">
      <c r="A5">
        <f>IFERROR(INDEX(tblLearners[Learner_ID],ROW()-3),"")</f>
        <v/>
      </c>
      <c r="B5" s="8">
        <f>IF(OR(A5="",B3=""),"",LET(a,AVERAGEIFS(tblObs[Entrustment_Level],tblObs[Learner_ID],A5,tblObs[EPA_ID],B3),n,COUNTIFS(tblObs[Learner_ID],A5,tblObs[EPA_ID],B3),IF(n=0,"",TEXT(a,"0.0")&amp;" (n="&amp;n&amp;")")))</f>
        <v/>
      </c>
      <c r="C5" s="8">
        <f>IF(OR(A5="",C3=""),"",LET(a,AVERAGEIFS(tblObs[Entrustment_Level],tblObs[Learner_ID],A5,tblObs[EPA_ID],C3),n,COUNTIFS(tblObs[Learner_ID],A5,tblObs[EPA_ID],C3),IF(n=0,"",TEXT(a,"0.0")&amp;" (n="&amp;n&amp;")")))</f>
        <v/>
      </c>
      <c r="D5" s="8">
        <f>IF(OR(A5="",D3=""),"",LET(a,AVERAGEIFS(tblObs[Entrustment_Level],tblObs[Learner_ID],A5,tblObs[EPA_ID],D3),n,COUNTIFS(tblObs[Learner_ID],A5,tblObs[EPA_ID],D3),IF(n=0,"",TEXT(a,"0.0")&amp;" (n="&amp;n&amp;")")))</f>
        <v/>
      </c>
      <c r="E5" s="8">
        <f>IF(OR(A5="",E3=""),"",LET(a,AVERAGEIFS(tblObs[Entrustment_Level],tblObs[Learner_ID],A5,tblObs[EPA_ID],E3),n,COUNTIFS(tblObs[Learner_ID],A5,tblObs[EPA_ID],E3),IF(n=0,"",TEXT(a,"0.0")&amp;" (n="&amp;n&amp;")")))</f>
        <v/>
      </c>
      <c r="F5" s="8">
        <f>IF(OR(A5="",F3=""),"",LET(a,AVERAGEIFS(tblObs[Entrustment_Level],tblObs[Learner_ID],A5,tblObs[EPA_ID],F3),n,COUNTIFS(tblObs[Learner_ID],A5,tblObs[EPA_ID],F3),IF(n=0,"",TEXT(a,"0.0")&amp;" (n="&amp;n&amp;")")))</f>
        <v/>
      </c>
      <c r="G5" s="8">
        <f>IF(OR(A5="",G3=""),"",LET(a,AVERAGEIFS(tblObs[Entrustment_Level],tblObs[Learner_ID],A5,tblObs[EPA_ID],G3),n,COUNTIFS(tblObs[Learner_ID],A5,tblObs[EPA_ID],G3),IF(n=0,"",TEXT(a,"0.0")&amp;" (n="&amp;n&amp;")")))</f>
        <v/>
      </c>
      <c r="H5" s="8">
        <f>IF(OR(A5="",H3=""),"",LET(a,AVERAGEIFS(tblObs[Entrustment_Level],tblObs[Learner_ID],A5,tblObs[EPA_ID],H3),n,COUNTIFS(tblObs[Learner_ID],A5,tblObs[EPA_ID],H3),IF(n=0,"",TEXT(a,"0.0")&amp;" (n="&amp;n&amp;")")))</f>
        <v/>
      </c>
      <c r="I5" s="8">
        <f>IF(OR(A5="",I3=""),"",LET(a,AVERAGEIFS(tblObs[Entrustment_Level],tblObs[Learner_ID],A5,tblObs[EPA_ID],I3),n,COUNTIFS(tblObs[Learner_ID],A5,tblObs[EPA_ID],I3),IF(n=0,"",TEXT(a,"0.0")&amp;" (n="&amp;n&amp;")")))</f>
        <v/>
      </c>
      <c r="J5" s="8">
        <f>IF(OR(A5="",J3=""),"",LET(a,AVERAGEIFS(tblObs[Entrustment_Level],tblObs[Learner_ID],A5,tblObs[EPA_ID],J3),n,COUNTIFS(tblObs[Learner_ID],A5,tblObs[EPA_ID],J3),IF(n=0,"",TEXT(a,"0.0")&amp;" (n="&amp;n&amp;")")))</f>
        <v/>
      </c>
      <c r="K5" s="8">
        <f>IF(OR(A5="",K3=""),"",LET(a,AVERAGEIFS(tblObs[Entrustment_Level],tblObs[Learner_ID],A5,tblObs[EPA_ID],K3),n,COUNTIFS(tblObs[Learner_ID],A5,tblObs[EPA_ID],K3),IF(n=0,"",TEXT(a,"0.0")&amp;" (n="&amp;n&amp;")")))</f>
        <v/>
      </c>
      <c r="L5" s="8">
        <f>IF(OR(A5="",L3=""),"",LET(a,AVERAGEIFS(tblObs[Entrustment_Level],tblObs[Learner_ID],A5,tblObs[EPA_ID],L3),n,COUNTIFS(tblObs[Learner_ID],A5,tblObs[EPA_ID],L3),IF(n=0,"",TEXT(a,"0.0")&amp;" (n="&amp;n&amp;")")))</f>
        <v/>
      </c>
      <c r="M5" s="8">
        <f>IF(OR(A5="",M3=""),"",LET(a,AVERAGEIFS(tblObs[Entrustment_Level],tblObs[Learner_ID],A5,tblObs[EPA_ID],M3),n,COUNTIFS(tblObs[Learner_ID],A5,tblObs[EPA_ID],M3),IF(n=0,"",TEXT(a,"0.0")&amp;" (n="&amp;n&amp;")")))</f>
        <v/>
      </c>
    </row>
    <row r="6">
      <c r="A6">
        <f>IFERROR(INDEX(tblLearners[Learner_ID],ROW()-3),"")</f>
        <v/>
      </c>
      <c r="B6" s="8">
        <f>IF(OR(A6="",B3=""),"",LET(a,AVERAGEIFS(tblObs[Entrustment_Level],tblObs[Learner_ID],A6,tblObs[EPA_ID],B3),n,COUNTIFS(tblObs[Learner_ID],A6,tblObs[EPA_ID],B3),IF(n=0,"",TEXT(a,"0.0")&amp;" (n="&amp;n&amp;")")))</f>
        <v/>
      </c>
      <c r="C6" s="8">
        <f>IF(OR(A6="",C3=""),"",LET(a,AVERAGEIFS(tblObs[Entrustment_Level],tblObs[Learner_ID],A6,tblObs[EPA_ID],C3),n,COUNTIFS(tblObs[Learner_ID],A6,tblObs[EPA_ID],C3),IF(n=0,"",TEXT(a,"0.0")&amp;" (n="&amp;n&amp;")")))</f>
        <v/>
      </c>
      <c r="D6" s="8">
        <f>IF(OR(A6="",D3=""),"",LET(a,AVERAGEIFS(tblObs[Entrustment_Level],tblObs[Learner_ID],A6,tblObs[EPA_ID],D3),n,COUNTIFS(tblObs[Learner_ID],A6,tblObs[EPA_ID],D3),IF(n=0,"",TEXT(a,"0.0")&amp;" (n="&amp;n&amp;")")))</f>
        <v/>
      </c>
      <c r="E6" s="8">
        <f>IF(OR(A6="",E3=""),"",LET(a,AVERAGEIFS(tblObs[Entrustment_Level],tblObs[Learner_ID],A6,tblObs[EPA_ID],E3),n,COUNTIFS(tblObs[Learner_ID],A6,tblObs[EPA_ID],E3),IF(n=0,"",TEXT(a,"0.0")&amp;" (n="&amp;n&amp;")")))</f>
        <v/>
      </c>
      <c r="F6" s="8">
        <f>IF(OR(A6="",F3=""),"",LET(a,AVERAGEIFS(tblObs[Entrustment_Level],tblObs[Learner_ID],A6,tblObs[EPA_ID],F3),n,COUNTIFS(tblObs[Learner_ID],A6,tblObs[EPA_ID],F3),IF(n=0,"",TEXT(a,"0.0")&amp;" (n="&amp;n&amp;")")))</f>
        <v/>
      </c>
      <c r="G6" s="8">
        <f>IF(OR(A6="",G3=""),"",LET(a,AVERAGEIFS(tblObs[Entrustment_Level],tblObs[Learner_ID],A6,tblObs[EPA_ID],G3),n,COUNTIFS(tblObs[Learner_ID],A6,tblObs[EPA_ID],G3),IF(n=0,"",TEXT(a,"0.0")&amp;" (n="&amp;n&amp;")")))</f>
        <v/>
      </c>
      <c r="H6" s="8">
        <f>IF(OR(A6="",H3=""),"",LET(a,AVERAGEIFS(tblObs[Entrustment_Level],tblObs[Learner_ID],A6,tblObs[EPA_ID],H3),n,COUNTIFS(tblObs[Learner_ID],A6,tblObs[EPA_ID],H3),IF(n=0,"",TEXT(a,"0.0")&amp;" (n="&amp;n&amp;")")))</f>
        <v/>
      </c>
      <c r="I6" s="8">
        <f>IF(OR(A6="",I3=""),"",LET(a,AVERAGEIFS(tblObs[Entrustment_Level],tblObs[Learner_ID],A6,tblObs[EPA_ID],I3),n,COUNTIFS(tblObs[Learner_ID],A6,tblObs[EPA_ID],I3),IF(n=0,"",TEXT(a,"0.0")&amp;" (n="&amp;n&amp;")")))</f>
        <v/>
      </c>
      <c r="J6" s="8">
        <f>IF(OR(A6="",J3=""),"",LET(a,AVERAGEIFS(tblObs[Entrustment_Level],tblObs[Learner_ID],A6,tblObs[EPA_ID],J3),n,COUNTIFS(tblObs[Learner_ID],A6,tblObs[EPA_ID],J3),IF(n=0,"",TEXT(a,"0.0")&amp;" (n="&amp;n&amp;")")))</f>
        <v/>
      </c>
      <c r="K6" s="8">
        <f>IF(OR(A6="",K3=""),"",LET(a,AVERAGEIFS(tblObs[Entrustment_Level],tblObs[Learner_ID],A6,tblObs[EPA_ID],K3),n,COUNTIFS(tblObs[Learner_ID],A6,tblObs[EPA_ID],K3),IF(n=0,"",TEXT(a,"0.0")&amp;" (n="&amp;n&amp;")")))</f>
        <v/>
      </c>
      <c r="L6" s="8">
        <f>IF(OR(A6="",L3=""),"",LET(a,AVERAGEIFS(tblObs[Entrustment_Level],tblObs[Learner_ID],A6,tblObs[EPA_ID],L3),n,COUNTIFS(tblObs[Learner_ID],A6,tblObs[EPA_ID],L3),IF(n=0,"",TEXT(a,"0.0")&amp;" (n="&amp;n&amp;")")))</f>
        <v/>
      </c>
      <c r="M6" s="8">
        <f>IF(OR(A6="",M3=""),"",LET(a,AVERAGEIFS(tblObs[Entrustment_Level],tblObs[Learner_ID],A6,tblObs[EPA_ID],M3),n,COUNTIFS(tblObs[Learner_ID],A6,tblObs[EPA_ID],M3),IF(n=0,"",TEXT(a,"0.0")&amp;" (n="&amp;n&amp;")")))</f>
        <v/>
      </c>
    </row>
    <row r="7">
      <c r="A7">
        <f>IFERROR(INDEX(tblLearners[Learner_ID],ROW()-3),"")</f>
        <v/>
      </c>
      <c r="B7" s="8">
        <f>IF(OR(A7="",B3=""),"",LET(a,AVERAGEIFS(tblObs[Entrustment_Level],tblObs[Learner_ID],A7,tblObs[EPA_ID],B3),n,COUNTIFS(tblObs[Learner_ID],A7,tblObs[EPA_ID],B3),IF(n=0,"",TEXT(a,"0.0")&amp;" (n="&amp;n&amp;")")))</f>
        <v/>
      </c>
      <c r="C7" s="8">
        <f>IF(OR(A7="",C3=""),"",LET(a,AVERAGEIFS(tblObs[Entrustment_Level],tblObs[Learner_ID],A7,tblObs[EPA_ID],C3),n,COUNTIFS(tblObs[Learner_ID],A7,tblObs[EPA_ID],C3),IF(n=0,"",TEXT(a,"0.0")&amp;" (n="&amp;n&amp;")")))</f>
        <v/>
      </c>
      <c r="D7" s="8">
        <f>IF(OR(A7="",D3=""),"",LET(a,AVERAGEIFS(tblObs[Entrustment_Level],tblObs[Learner_ID],A7,tblObs[EPA_ID],D3),n,COUNTIFS(tblObs[Learner_ID],A7,tblObs[EPA_ID],D3),IF(n=0,"",TEXT(a,"0.0")&amp;" (n="&amp;n&amp;")")))</f>
        <v/>
      </c>
      <c r="E7" s="8">
        <f>IF(OR(A7="",E3=""),"",LET(a,AVERAGEIFS(tblObs[Entrustment_Level],tblObs[Learner_ID],A7,tblObs[EPA_ID],E3),n,COUNTIFS(tblObs[Learner_ID],A7,tblObs[EPA_ID],E3),IF(n=0,"",TEXT(a,"0.0")&amp;" (n="&amp;n&amp;")")))</f>
        <v/>
      </c>
      <c r="F7" s="8">
        <f>IF(OR(A7="",F3=""),"",LET(a,AVERAGEIFS(tblObs[Entrustment_Level],tblObs[Learner_ID],A7,tblObs[EPA_ID],F3),n,COUNTIFS(tblObs[Learner_ID],A7,tblObs[EPA_ID],F3),IF(n=0,"",TEXT(a,"0.0")&amp;" (n="&amp;n&amp;")")))</f>
        <v/>
      </c>
      <c r="G7" s="8">
        <f>IF(OR(A7="",G3=""),"",LET(a,AVERAGEIFS(tblObs[Entrustment_Level],tblObs[Learner_ID],A7,tblObs[EPA_ID],G3),n,COUNTIFS(tblObs[Learner_ID],A7,tblObs[EPA_ID],G3),IF(n=0,"",TEXT(a,"0.0")&amp;" (n="&amp;n&amp;")")))</f>
        <v/>
      </c>
      <c r="H7" s="8">
        <f>IF(OR(A7="",H3=""),"",LET(a,AVERAGEIFS(tblObs[Entrustment_Level],tblObs[Learner_ID],A7,tblObs[EPA_ID],H3),n,COUNTIFS(tblObs[Learner_ID],A7,tblObs[EPA_ID],H3),IF(n=0,"",TEXT(a,"0.0")&amp;" (n="&amp;n&amp;")")))</f>
        <v/>
      </c>
      <c r="I7" s="8">
        <f>IF(OR(A7="",I3=""),"",LET(a,AVERAGEIFS(tblObs[Entrustment_Level],tblObs[Learner_ID],A7,tblObs[EPA_ID],I3),n,COUNTIFS(tblObs[Learner_ID],A7,tblObs[EPA_ID],I3),IF(n=0,"",TEXT(a,"0.0")&amp;" (n="&amp;n&amp;")")))</f>
        <v/>
      </c>
      <c r="J7" s="8">
        <f>IF(OR(A7="",J3=""),"",LET(a,AVERAGEIFS(tblObs[Entrustment_Level],tblObs[Learner_ID],A7,tblObs[EPA_ID],J3),n,COUNTIFS(tblObs[Learner_ID],A7,tblObs[EPA_ID],J3),IF(n=0,"",TEXT(a,"0.0")&amp;" (n="&amp;n&amp;")")))</f>
        <v/>
      </c>
      <c r="K7" s="8">
        <f>IF(OR(A7="",K3=""),"",LET(a,AVERAGEIFS(tblObs[Entrustment_Level],tblObs[Learner_ID],A7,tblObs[EPA_ID],K3),n,COUNTIFS(tblObs[Learner_ID],A7,tblObs[EPA_ID],K3),IF(n=0,"",TEXT(a,"0.0")&amp;" (n="&amp;n&amp;")")))</f>
        <v/>
      </c>
      <c r="L7" s="8">
        <f>IF(OR(A7="",L3=""),"",LET(a,AVERAGEIFS(tblObs[Entrustment_Level],tblObs[Learner_ID],A7,tblObs[EPA_ID],L3),n,COUNTIFS(tblObs[Learner_ID],A7,tblObs[EPA_ID],L3),IF(n=0,"",TEXT(a,"0.0")&amp;" (n="&amp;n&amp;")")))</f>
        <v/>
      </c>
      <c r="M7" s="8">
        <f>IF(OR(A7="",M3=""),"",LET(a,AVERAGEIFS(tblObs[Entrustment_Level],tblObs[Learner_ID],A7,tblObs[EPA_ID],M3),n,COUNTIFS(tblObs[Learner_ID],A7,tblObs[EPA_ID],M3),IF(n=0,"",TEXT(a,"0.0")&amp;" (n="&amp;n&amp;")")))</f>
        <v/>
      </c>
    </row>
    <row r="8">
      <c r="A8">
        <f>IFERROR(INDEX(tblLearners[Learner_ID],ROW()-3),"")</f>
        <v/>
      </c>
      <c r="B8" s="8">
        <f>IF(OR(A8="",B3=""),"",LET(a,AVERAGEIFS(tblObs[Entrustment_Level],tblObs[Learner_ID],A8,tblObs[EPA_ID],B3),n,COUNTIFS(tblObs[Learner_ID],A8,tblObs[EPA_ID],B3),IF(n=0,"",TEXT(a,"0.0")&amp;" (n="&amp;n&amp;")")))</f>
        <v/>
      </c>
      <c r="C8" s="8">
        <f>IF(OR(A8="",C3=""),"",LET(a,AVERAGEIFS(tblObs[Entrustment_Level],tblObs[Learner_ID],A8,tblObs[EPA_ID],C3),n,COUNTIFS(tblObs[Learner_ID],A8,tblObs[EPA_ID],C3),IF(n=0,"",TEXT(a,"0.0")&amp;" (n="&amp;n&amp;")")))</f>
        <v/>
      </c>
      <c r="D8" s="8">
        <f>IF(OR(A8="",D3=""),"",LET(a,AVERAGEIFS(tblObs[Entrustment_Level],tblObs[Learner_ID],A8,tblObs[EPA_ID],D3),n,COUNTIFS(tblObs[Learner_ID],A8,tblObs[EPA_ID],D3),IF(n=0,"",TEXT(a,"0.0")&amp;" (n="&amp;n&amp;")")))</f>
        <v/>
      </c>
      <c r="E8" s="8">
        <f>IF(OR(A8="",E3=""),"",LET(a,AVERAGEIFS(tblObs[Entrustment_Level],tblObs[Learner_ID],A8,tblObs[EPA_ID],E3),n,COUNTIFS(tblObs[Learner_ID],A8,tblObs[EPA_ID],E3),IF(n=0,"",TEXT(a,"0.0")&amp;" (n="&amp;n&amp;")")))</f>
        <v/>
      </c>
      <c r="F8" s="8">
        <f>IF(OR(A8="",F3=""),"",LET(a,AVERAGEIFS(tblObs[Entrustment_Level],tblObs[Learner_ID],A8,tblObs[EPA_ID],F3),n,COUNTIFS(tblObs[Learner_ID],A8,tblObs[EPA_ID],F3),IF(n=0,"",TEXT(a,"0.0")&amp;" (n="&amp;n&amp;")")))</f>
        <v/>
      </c>
      <c r="G8" s="8">
        <f>IF(OR(A8="",G3=""),"",LET(a,AVERAGEIFS(tblObs[Entrustment_Level],tblObs[Learner_ID],A8,tblObs[EPA_ID],G3),n,COUNTIFS(tblObs[Learner_ID],A8,tblObs[EPA_ID],G3),IF(n=0,"",TEXT(a,"0.0")&amp;" (n="&amp;n&amp;")")))</f>
        <v/>
      </c>
      <c r="H8" s="8">
        <f>IF(OR(A8="",H3=""),"",LET(a,AVERAGEIFS(tblObs[Entrustment_Level],tblObs[Learner_ID],A8,tblObs[EPA_ID],H3),n,COUNTIFS(tblObs[Learner_ID],A8,tblObs[EPA_ID],H3),IF(n=0,"",TEXT(a,"0.0")&amp;" (n="&amp;n&amp;")")))</f>
        <v/>
      </c>
      <c r="I8" s="8">
        <f>IF(OR(A8="",I3=""),"",LET(a,AVERAGEIFS(tblObs[Entrustment_Level],tblObs[Learner_ID],A8,tblObs[EPA_ID],I3),n,COUNTIFS(tblObs[Learner_ID],A8,tblObs[EPA_ID],I3),IF(n=0,"",TEXT(a,"0.0")&amp;" (n="&amp;n&amp;")")))</f>
        <v/>
      </c>
      <c r="J8" s="8">
        <f>IF(OR(A8="",J3=""),"",LET(a,AVERAGEIFS(tblObs[Entrustment_Level],tblObs[Learner_ID],A8,tblObs[EPA_ID],J3),n,COUNTIFS(tblObs[Learner_ID],A8,tblObs[EPA_ID],J3),IF(n=0,"",TEXT(a,"0.0")&amp;" (n="&amp;n&amp;")")))</f>
        <v/>
      </c>
      <c r="K8" s="8">
        <f>IF(OR(A8="",K3=""),"",LET(a,AVERAGEIFS(tblObs[Entrustment_Level],tblObs[Learner_ID],A8,tblObs[EPA_ID],K3),n,COUNTIFS(tblObs[Learner_ID],A8,tblObs[EPA_ID],K3),IF(n=0,"",TEXT(a,"0.0")&amp;" (n="&amp;n&amp;")")))</f>
        <v/>
      </c>
      <c r="L8" s="8">
        <f>IF(OR(A8="",L3=""),"",LET(a,AVERAGEIFS(tblObs[Entrustment_Level],tblObs[Learner_ID],A8,tblObs[EPA_ID],L3),n,COUNTIFS(tblObs[Learner_ID],A8,tblObs[EPA_ID],L3),IF(n=0,"",TEXT(a,"0.0")&amp;" (n="&amp;n&amp;")")))</f>
        <v/>
      </c>
      <c r="M8" s="8">
        <f>IF(OR(A8="",M3=""),"",LET(a,AVERAGEIFS(tblObs[Entrustment_Level],tblObs[Learner_ID],A8,tblObs[EPA_ID],M3),n,COUNTIFS(tblObs[Learner_ID],A8,tblObs[EPA_ID],M3),IF(n=0,"",TEXT(a,"0.0")&amp;" (n="&amp;n&amp;")")))</f>
        <v/>
      </c>
    </row>
    <row r="9">
      <c r="A9">
        <f>IFERROR(INDEX(tblLearners[Learner_ID],ROW()-3),"")</f>
        <v/>
      </c>
      <c r="B9" s="8">
        <f>IF(OR(A9="",B3=""),"",LET(a,AVERAGEIFS(tblObs[Entrustment_Level],tblObs[Learner_ID],A9,tblObs[EPA_ID],B3),n,COUNTIFS(tblObs[Learner_ID],A9,tblObs[EPA_ID],B3),IF(n=0,"",TEXT(a,"0.0")&amp;" (n="&amp;n&amp;")")))</f>
        <v/>
      </c>
      <c r="C9" s="8">
        <f>IF(OR(A9="",C3=""),"",LET(a,AVERAGEIFS(tblObs[Entrustment_Level],tblObs[Learner_ID],A9,tblObs[EPA_ID],C3),n,COUNTIFS(tblObs[Learner_ID],A9,tblObs[EPA_ID],C3),IF(n=0,"",TEXT(a,"0.0")&amp;" (n="&amp;n&amp;")")))</f>
        <v/>
      </c>
      <c r="D9" s="8">
        <f>IF(OR(A9="",D3=""),"",LET(a,AVERAGEIFS(tblObs[Entrustment_Level],tblObs[Learner_ID],A9,tblObs[EPA_ID],D3),n,COUNTIFS(tblObs[Learner_ID],A9,tblObs[EPA_ID],D3),IF(n=0,"",TEXT(a,"0.0")&amp;" (n="&amp;n&amp;")")))</f>
        <v/>
      </c>
      <c r="E9" s="8">
        <f>IF(OR(A9="",E3=""),"",LET(a,AVERAGEIFS(tblObs[Entrustment_Level],tblObs[Learner_ID],A9,tblObs[EPA_ID],E3),n,COUNTIFS(tblObs[Learner_ID],A9,tblObs[EPA_ID],E3),IF(n=0,"",TEXT(a,"0.0")&amp;" (n="&amp;n&amp;")")))</f>
        <v/>
      </c>
      <c r="F9" s="8">
        <f>IF(OR(A9="",F3=""),"",LET(a,AVERAGEIFS(tblObs[Entrustment_Level],tblObs[Learner_ID],A9,tblObs[EPA_ID],F3),n,COUNTIFS(tblObs[Learner_ID],A9,tblObs[EPA_ID],F3),IF(n=0,"",TEXT(a,"0.0")&amp;" (n="&amp;n&amp;")")))</f>
        <v/>
      </c>
      <c r="G9" s="8">
        <f>IF(OR(A9="",G3=""),"",LET(a,AVERAGEIFS(tblObs[Entrustment_Level],tblObs[Learner_ID],A9,tblObs[EPA_ID],G3),n,COUNTIFS(tblObs[Learner_ID],A9,tblObs[EPA_ID],G3),IF(n=0,"",TEXT(a,"0.0")&amp;" (n="&amp;n&amp;")")))</f>
        <v/>
      </c>
      <c r="H9" s="8">
        <f>IF(OR(A9="",H3=""),"",LET(a,AVERAGEIFS(tblObs[Entrustment_Level],tblObs[Learner_ID],A9,tblObs[EPA_ID],H3),n,COUNTIFS(tblObs[Learner_ID],A9,tblObs[EPA_ID],H3),IF(n=0,"",TEXT(a,"0.0")&amp;" (n="&amp;n&amp;")")))</f>
        <v/>
      </c>
      <c r="I9" s="8">
        <f>IF(OR(A9="",I3=""),"",LET(a,AVERAGEIFS(tblObs[Entrustment_Level],tblObs[Learner_ID],A9,tblObs[EPA_ID],I3),n,COUNTIFS(tblObs[Learner_ID],A9,tblObs[EPA_ID],I3),IF(n=0,"",TEXT(a,"0.0")&amp;" (n="&amp;n&amp;")")))</f>
        <v/>
      </c>
      <c r="J9" s="8">
        <f>IF(OR(A9="",J3=""),"",LET(a,AVERAGEIFS(tblObs[Entrustment_Level],tblObs[Learner_ID],A9,tblObs[EPA_ID],J3),n,COUNTIFS(tblObs[Learner_ID],A9,tblObs[EPA_ID],J3),IF(n=0,"",TEXT(a,"0.0")&amp;" (n="&amp;n&amp;")")))</f>
        <v/>
      </c>
      <c r="K9" s="8">
        <f>IF(OR(A9="",K3=""),"",LET(a,AVERAGEIFS(tblObs[Entrustment_Level],tblObs[Learner_ID],A9,tblObs[EPA_ID],K3),n,COUNTIFS(tblObs[Learner_ID],A9,tblObs[EPA_ID],K3),IF(n=0,"",TEXT(a,"0.0")&amp;" (n="&amp;n&amp;")")))</f>
        <v/>
      </c>
      <c r="L9" s="8">
        <f>IF(OR(A9="",L3=""),"",LET(a,AVERAGEIFS(tblObs[Entrustment_Level],tblObs[Learner_ID],A9,tblObs[EPA_ID],L3),n,COUNTIFS(tblObs[Learner_ID],A9,tblObs[EPA_ID],L3),IF(n=0,"",TEXT(a,"0.0")&amp;" (n="&amp;n&amp;")")))</f>
        <v/>
      </c>
      <c r="M9" s="8">
        <f>IF(OR(A9="",M3=""),"",LET(a,AVERAGEIFS(tblObs[Entrustment_Level],tblObs[Learner_ID],A9,tblObs[EPA_ID],M3),n,COUNTIFS(tblObs[Learner_ID],A9,tblObs[EPA_ID],M3),IF(n=0,"",TEXT(a,"0.0")&amp;" (n="&amp;n&amp;")")))</f>
        <v/>
      </c>
    </row>
    <row r="10">
      <c r="A10">
        <f>IFERROR(INDEX(tblLearners[Learner_ID],ROW()-3),"")</f>
        <v/>
      </c>
      <c r="B10" s="8">
        <f>IF(OR(A10="",B3=""),"",LET(a,AVERAGEIFS(tblObs[Entrustment_Level],tblObs[Learner_ID],A10,tblObs[EPA_ID],B3),n,COUNTIFS(tblObs[Learner_ID],A10,tblObs[EPA_ID],B3),IF(n=0,"",TEXT(a,"0.0")&amp;" (n="&amp;n&amp;")")))</f>
        <v/>
      </c>
      <c r="C10" s="8">
        <f>IF(OR(A10="",C3=""),"",LET(a,AVERAGEIFS(tblObs[Entrustment_Level],tblObs[Learner_ID],A10,tblObs[EPA_ID],C3),n,COUNTIFS(tblObs[Learner_ID],A10,tblObs[EPA_ID],C3),IF(n=0,"",TEXT(a,"0.0")&amp;" (n="&amp;n&amp;")")))</f>
        <v/>
      </c>
      <c r="D10" s="8">
        <f>IF(OR(A10="",D3=""),"",LET(a,AVERAGEIFS(tblObs[Entrustment_Level],tblObs[Learner_ID],A10,tblObs[EPA_ID],D3),n,COUNTIFS(tblObs[Learner_ID],A10,tblObs[EPA_ID],D3),IF(n=0,"",TEXT(a,"0.0")&amp;" (n="&amp;n&amp;")")))</f>
        <v/>
      </c>
      <c r="E10" s="8">
        <f>IF(OR(A10="",E3=""),"",LET(a,AVERAGEIFS(tblObs[Entrustment_Level],tblObs[Learner_ID],A10,tblObs[EPA_ID],E3),n,COUNTIFS(tblObs[Learner_ID],A10,tblObs[EPA_ID],E3),IF(n=0,"",TEXT(a,"0.0")&amp;" (n="&amp;n&amp;")")))</f>
        <v/>
      </c>
      <c r="F10" s="8">
        <f>IF(OR(A10="",F3=""),"",LET(a,AVERAGEIFS(tblObs[Entrustment_Level],tblObs[Learner_ID],A10,tblObs[EPA_ID],F3),n,COUNTIFS(tblObs[Learner_ID],A10,tblObs[EPA_ID],F3),IF(n=0,"",TEXT(a,"0.0")&amp;" (n="&amp;n&amp;")")))</f>
        <v/>
      </c>
      <c r="G10" s="8">
        <f>IF(OR(A10="",G3=""),"",LET(a,AVERAGEIFS(tblObs[Entrustment_Level],tblObs[Learner_ID],A10,tblObs[EPA_ID],G3),n,COUNTIFS(tblObs[Learner_ID],A10,tblObs[EPA_ID],G3),IF(n=0,"",TEXT(a,"0.0")&amp;" (n="&amp;n&amp;")")))</f>
        <v/>
      </c>
      <c r="H10" s="8">
        <f>IF(OR(A10="",H3=""),"",LET(a,AVERAGEIFS(tblObs[Entrustment_Level],tblObs[Learner_ID],A10,tblObs[EPA_ID],H3),n,COUNTIFS(tblObs[Learner_ID],A10,tblObs[EPA_ID],H3),IF(n=0,"",TEXT(a,"0.0")&amp;" (n="&amp;n&amp;")")))</f>
        <v/>
      </c>
      <c r="I10" s="8">
        <f>IF(OR(A10="",I3=""),"",LET(a,AVERAGEIFS(tblObs[Entrustment_Level],tblObs[Learner_ID],A10,tblObs[EPA_ID],I3),n,COUNTIFS(tblObs[Learner_ID],A10,tblObs[EPA_ID],I3),IF(n=0,"",TEXT(a,"0.0")&amp;" (n="&amp;n&amp;")")))</f>
        <v/>
      </c>
      <c r="J10" s="8">
        <f>IF(OR(A10="",J3=""),"",LET(a,AVERAGEIFS(tblObs[Entrustment_Level],tblObs[Learner_ID],A10,tblObs[EPA_ID],J3),n,COUNTIFS(tblObs[Learner_ID],A10,tblObs[EPA_ID],J3),IF(n=0,"",TEXT(a,"0.0")&amp;" (n="&amp;n&amp;")")))</f>
        <v/>
      </c>
      <c r="K10" s="8">
        <f>IF(OR(A10="",K3=""),"",LET(a,AVERAGEIFS(tblObs[Entrustment_Level],tblObs[Learner_ID],A10,tblObs[EPA_ID],K3),n,COUNTIFS(tblObs[Learner_ID],A10,tblObs[EPA_ID],K3),IF(n=0,"",TEXT(a,"0.0")&amp;" (n="&amp;n&amp;")")))</f>
        <v/>
      </c>
      <c r="L10" s="8">
        <f>IF(OR(A10="",L3=""),"",LET(a,AVERAGEIFS(tblObs[Entrustment_Level],tblObs[Learner_ID],A10,tblObs[EPA_ID],L3),n,COUNTIFS(tblObs[Learner_ID],A10,tblObs[EPA_ID],L3),IF(n=0,"",TEXT(a,"0.0")&amp;" (n="&amp;n&amp;")")))</f>
        <v/>
      </c>
      <c r="M10" s="8">
        <f>IF(OR(A10="",M3=""),"",LET(a,AVERAGEIFS(tblObs[Entrustment_Level],tblObs[Learner_ID],A10,tblObs[EPA_ID],M3),n,COUNTIFS(tblObs[Learner_ID],A10,tblObs[EPA_ID],M3),IF(n=0,"",TEXT(a,"0.0")&amp;" (n="&amp;n&amp;")")))</f>
        <v/>
      </c>
    </row>
    <row r="11">
      <c r="A11">
        <f>IFERROR(INDEX(tblLearners[Learner_ID],ROW()-3),"")</f>
        <v/>
      </c>
      <c r="B11" s="8">
        <f>IF(OR(A11="",B3=""),"",LET(a,AVERAGEIFS(tblObs[Entrustment_Level],tblObs[Learner_ID],A11,tblObs[EPA_ID],B3),n,COUNTIFS(tblObs[Learner_ID],A11,tblObs[EPA_ID],B3),IF(n=0,"",TEXT(a,"0.0")&amp;" (n="&amp;n&amp;")")))</f>
        <v/>
      </c>
      <c r="C11" s="8">
        <f>IF(OR(A11="",C3=""),"",LET(a,AVERAGEIFS(tblObs[Entrustment_Level],tblObs[Learner_ID],A11,tblObs[EPA_ID],C3),n,COUNTIFS(tblObs[Learner_ID],A11,tblObs[EPA_ID],C3),IF(n=0,"",TEXT(a,"0.0")&amp;" (n="&amp;n&amp;")")))</f>
        <v/>
      </c>
      <c r="D11" s="8">
        <f>IF(OR(A11="",D3=""),"",LET(a,AVERAGEIFS(tblObs[Entrustment_Level],tblObs[Learner_ID],A11,tblObs[EPA_ID],D3),n,COUNTIFS(tblObs[Learner_ID],A11,tblObs[EPA_ID],D3),IF(n=0,"",TEXT(a,"0.0")&amp;" (n="&amp;n&amp;")")))</f>
        <v/>
      </c>
      <c r="E11" s="8">
        <f>IF(OR(A11="",E3=""),"",LET(a,AVERAGEIFS(tblObs[Entrustment_Level],tblObs[Learner_ID],A11,tblObs[EPA_ID],E3),n,COUNTIFS(tblObs[Learner_ID],A11,tblObs[EPA_ID],E3),IF(n=0,"",TEXT(a,"0.0")&amp;" (n="&amp;n&amp;")")))</f>
        <v/>
      </c>
      <c r="F11" s="8">
        <f>IF(OR(A11="",F3=""),"",LET(a,AVERAGEIFS(tblObs[Entrustment_Level],tblObs[Learner_ID],A11,tblObs[EPA_ID],F3),n,COUNTIFS(tblObs[Learner_ID],A11,tblObs[EPA_ID],F3),IF(n=0,"",TEXT(a,"0.0")&amp;" (n="&amp;n&amp;")")))</f>
        <v/>
      </c>
      <c r="G11" s="8">
        <f>IF(OR(A11="",G3=""),"",LET(a,AVERAGEIFS(tblObs[Entrustment_Level],tblObs[Learner_ID],A11,tblObs[EPA_ID],G3),n,COUNTIFS(tblObs[Learner_ID],A11,tblObs[EPA_ID],G3),IF(n=0,"",TEXT(a,"0.0")&amp;" (n="&amp;n&amp;")")))</f>
        <v/>
      </c>
      <c r="H11" s="8">
        <f>IF(OR(A11="",H3=""),"",LET(a,AVERAGEIFS(tblObs[Entrustment_Level],tblObs[Learner_ID],A11,tblObs[EPA_ID],H3),n,COUNTIFS(tblObs[Learner_ID],A11,tblObs[EPA_ID],H3),IF(n=0,"",TEXT(a,"0.0")&amp;" (n="&amp;n&amp;")")))</f>
        <v/>
      </c>
      <c r="I11" s="8">
        <f>IF(OR(A11="",I3=""),"",LET(a,AVERAGEIFS(tblObs[Entrustment_Level],tblObs[Learner_ID],A11,tblObs[EPA_ID],I3),n,COUNTIFS(tblObs[Learner_ID],A11,tblObs[EPA_ID],I3),IF(n=0,"",TEXT(a,"0.0")&amp;" (n="&amp;n&amp;")")))</f>
        <v/>
      </c>
      <c r="J11" s="8">
        <f>IF(OR(A11="",J3=""),"",LET(a,AVERAGEIFS(tblObs[Entrustment_Level],tblObs[Learner_ID],A11,tblObs[EPA_ID],J3),n,COUNTIFS(tblObs[Learner_ID],A11,tblObs[EPA_ID],J3),IF(n=0,"",TEXT(a,"0.0")&amp;" (n="&amp;n&amp;")")))</f>
        <v/>
      </c>
      <c r="K11" s="8">
        <f>IF(OR(A11="",K3=""),"",LET(a,AVERAGEIFS(tblObs[Entrustment_Level],tblObs[Learner_ID],A11,tblObs[EPA_ID],K3),n,COUNTIFS(tblObs[Learner_ID],A11,tblObs[EPA_ID],K3),IF(n=0,"",TEXT(a,"0.0")&amp;" (n="&amp;n&amp;")")))</f>
        <v/>
      </c>
      <c r="L11" s="8">
        <f>IF(OR(A11="",L3=""),"",LET(a,AVERAGEIFS(tblObs[Entrustment_Level],tblObs[Learner_ID],A11,tblObs[EPA_ID],L3),n,COUNTIFS(tblObs[Learner_ID],A11,tblObs[EPA_ID],L3),IF(n=0,"",TEXT(a,"0.0")&amp;" (n="&amp;n&amp;")")))</f>
        <v/>
      </c>
      <c r="M11" s="8">
        <f>IF(OR(A11="",M3=""),"",LET(a,AVERAGEIFS(tblObs[Entrustment_Level],tblObs[Learner_ID],A11,tblObs[EPA_ID],M3),n,COUNTIFS(tblObs[Learner_ID],A11,tblObs[EPA_ID],M3),IF(n=0,"",TEXT(a,"0.0")&amp;" (n="&amp;n&amp;")")))</f>
        <v/>
      </c>
    </row>
    <row r="12">
      <c r="A12">
        <f>IFERROR(INDEX(tblLearners[Learner_ID],ROW()-3),"")</f>
        <v/>
      </c>
      <c r="B12" s="8">
        <f>IF(OR(A12="",B3=""),"",LET(a,AVERAGEIFS(tblObs[Entrustment_Level],tblObs[Learner_ID],A12,tblObs[EPA_ID],B3),n,COUNTIFS(tblObs[Learner_ID],A12,tblObs[EPA_ID],B3),IF(n=0,"",TEXT(a,"0.0")&amp;" (n="&amp;n&amp;")")))</f>
        <v/>
      </c>
      <c r="C12" s="8">
        <f>IF(OR(A12="",C3=""),"",LET(a,AVERAGEIFS(tblObs[Entrustment_Level],tblObs[Learner_ID],A12,tblObs[EPA_ID],C3),n,COUNTIFS(tblObs[Learner_ID],A12,tblObs[EPA_ID],C3),IF(n=0,"",TEXT(a,"0.0")&amp;" (n="&amp;n&amp;")")))</f>
        <v/>
      </c>
      <c r="D12" s="8">
        <f>IF(OR(A12="",D3=""),"",LET(a,AVERAGEIFS(tblObs[Entrustment_Level],tblObs[Learner_ID],A12,tblObs[EPA_ID],D3),n,COUNTIFS(tblObs[Learner_ID],A12,tblObs[EPA_ID],D3),IF(n=0,"",TEXT(a,"0.0")&amp;" (n="&amp;n&amp;")")))</f>
        <v/>
      </c>
      <c r="E12" s="8">
        <f>IF(OR(A12="",E3=""),"",LET(a,AVERAGEIFS(tblObs[Entrustment_Level],tblObs[Learner_ID],A12,tblObs[EPA_ID],E3),n,COUNTIFS(tblObs[Learner_ID],A12,tblObs[EPA_ID],E3),IF(n=0,"",TEXT(a,"0.0")&amp;" (n="&amp;n&amp;")")))</f>
        <v/>
      </c>
      <c r="F12" s="8">
        <f>IF(OR(A12="",F3=""),"",LET(a,AVERAGEIFS(tblObs[Entrustment_Level],tblObs[Learner_ID],A12,tblObs[EPA_ID],F3),n,COUNTIFS(tblObs[Learner_ID],A12,tblObs[EPA_ID],F3),IF(n=0,"",TEXT(a,"0.0")&amp;" (n="&amp;n&amp;")")))</f>
        <v/>
      </c>
      <c r="G12" s="8">
        <f>IF(OR(A12="",G3=""),"",LET(a,AVERAGEIFS(tblObs[Entrustment_Level],tblObs[Learner_ID],A12,tblObs[EPA_ID],G3),n,COUNTIFS(tblObs[Learner_ID],A12,tblObs[EPA_ID],G3),IF(n=0,"",TEXT(a,"0.0")&amp;" (n="&amp;n&amp;")")))</f>
        <v/>
      </c>
      <c r="H12" s="8">
        <f>IF(OR(A12="",H3=""),"",LET(a,AVERAGEIFS(tblObs[Entrustment_Level],tblObs[Learner_ID],A12,tblObs[EPA_ID],H3),n,COUNTIFS(tblObs[Learner_ID],A12,tblObs[EPA_ID],H3),IF(n=0,"",TEXT(a,"0.0")&amp;" (n="&amp;n&amp;")")))</f>
        <v/>
      </c>
      <c r="I12" s="8">
        <f>IF(OR(A12="",I3=""),"",LET(a,AVERAGEIFS(tblObs[Entrustment_Level],tblObs[Learner_ID],A12,tblObs[EPA_ID],I3),n,COUNTIFS(tblObs[Learner_ID],A12,tblObs[EPA_ID],I3),IF(n=0,"",TEXT(a,"0.0")&amp;" (n="&amp;n&amp;")")))</f>
        <v/>
      </c>
      <c r="J12" s="8">
        <f>IF(OR(A12="",J3=""),"",LET(a,AVERAGEIFS(tblObs[Entrustment_Level],tblObs[Learner_ID],A12,tblObs[EPA_ID],J3),n,COUNTIFS(tblObs[Learner_ID],A12,tblObs[EPA_ID],J3),IF(n=0,"",TEXT(a,"0.0")&amp;" (n="&amp;n&amp;")")))</f>
        <v/>
      </c>
      <c r="K12" s="8">
        <f>IF(OR(A12="",K3=""),"",LET(a,AVERAGEIFS(tblObs[Entrustment_Level],tblObs[Learner_ID],A12,tblObs[EPA_ID],K3),n,COUNTIFS(tblObs[Learner_ID],A12,tblObs[EPA_ID],K3),IF(n=0,"",TEXT(a,"0.0")&amp;" (n="&amp;n&amp;")")))</f>
        <v/>
      </c>
      <c r="L12" s="8">
        <f>IF(OR(A12="",L3=""),"",LET(a,AVERAGEIFS(tblObs[Entrustment_Level],tblObs[Learner_ID],A12,tblObs[EPA_ID],L3),n,COUNTIFS(tblObs[Learner_ID],A12,tblObs[EPA_ID],L3),IF(n=0,"",TEXT(a,"0.0")&amp;" (n="&amp;n&amp;")")))</f>
        <v/>
      </c>
      <c r="M12" s="8">
        <f>IF(OR(A12="",M3=""),"",LET(a,AVERAGEIFS(tblObs[Entrustment_Level],tblObs[Learner_ID],A12,tblObs[EPA_ID],M3),n,COUNTIFS(tblObs[Learner_ID],A12,tblObs[EPA_ID],M3),IF(n=0,"",TEXT(a,"0.0")&amp;" (n="&amp;n&amp;")")))</f>
        <v/>
      </c>
    </row>
    <row r="13">
      <c r="A13">
        <f>IFERROR(INDEX(tblLearners[Learner_ID],ROW()-3),"")</f>
        <v/>
      </c>
      <c r="B13" s="8">
        <f>IF(OR(A13="",B3=""),"",LET(a,AVERAGEIFS(tblObs[Entrustment_Level],tblObs[Learner_ID],A13,tblObs[EPA_ID],B3),n,COUNTIFS(tblObs[Learner_ID],A13,tblObs[EPA_ID],B3),IF(n=0,"",TEXT(a,"0.0")&amp;" (n="&amp;n&amp;")")))</f>
        <v/>
      </c>
      <c r="C13" s="8">
        <f>IF(OR(A13="",C3=""),"",LET(a,AVERAGEIFS(tblObs[Entrustment_Level],tblObs[Learner_ID],A13,tblObs[EPA_ID],C3),n,COUNTIFS(tblObs[Learner_ID],A13,tblObs[EPA_ID],C3),IF(n=0,"",TEXT(a,"0.0")&amp;" (n="&amp;n&amp;")")))</f>
        <v/>
      </c>
      <c r="D13" s="8">
        <f>IF(OR(A13="",D3=""),"",LET(a,AVERAGEIFS(tblObs[Entrustment_Level],tblObs[Learner_ID],A13,tblObs[EPA_ID],D3),n,COUNTIFS(tblObs[Learner_ID],A13,tblObs[EPA_ID],D3),IF(n=0,"",TEXT(a,"0.0")&amp;" (n="&amp;n&amp;")")))</f>
        <v/>
      </c>
      <c r="E13" s="8">
        <f>IF(OR(A13="",E3=""),"",LET(a,AVERAGEIFS(tblObs[Entrustment_Level],tblObs[Learner_ID],A13,tblObs[EPA_ID],E3),n,COUNTIFS(tblObs[Learner_ID],A13,tblObs[EPA_ID],E3),IF(n=0,"",TEXT(a,"0.0")&amp;" (n="&amp;n&amp;")")))</f>
        <v/>
      </c>
      <c r="F13" s="8">
        <f>IF(OR(A13="",F3=""),"",LET(a,AVERAGEIFS(tblObs[Entrustment_Level],tblObs[Learner_ID],A13,tblObs[EPA_ID],F3),n,COUNTIFS(tblObs[Learner_ID],A13,tblObs[EPA_ID],F3),IF(n=0,"",TEXT(a,"0.0")&amp;" (n="&amp;n&amp;")")))</f>
        <v/>
      </c>
      <c r="G13" s="8">
        <f>IF(OR(A13="",G3=""),"",LET(a,AVERAGEIFS(tblObs[Entrustment_Level],tblObs[Learner_ID],A13,tblObs[EPA_ID],G3),n,COUNTIFS(tblObs[Learner_ID],A13,tblObs[EPA_ID],G3),IF(n=0,"",TEXT(a,"0.0")&amp;" (n="&amp;n&amp;")")))</f>
        <v/>
      </c>
      <c r="H13" s="8">
        <f>IF(OR(A13="",H3=""),"",LET(a,AVERAGEIFS(tblObs[Entrustment_Level],tblObs[Learner_ID],A13,tblObs[EPA_ID],H3),n,COUNTIFS(tblObs[Learner_ID],A13,tblObs[EPA_ID],H3),IF(n=0,"",TEXT(a,"0.0")&amp;" (n="&amp;n&amp;")")))</f>
        <v/>
      </c>
      <c r="I13" s="8">
        <f>IF(OR(A13="",I3=""),"",LET(a,AVERAGEIFS(tblObs[Entrustment_Level],tblObs[Learner_ID],A13,tblObs[EPA_ID],I3),n,COUNTIFS(tblObs[Learner_ID],A13,tblObs[EPA_ID],I3),IF(n=0,"",TEXT(a,"0.0")&amp;" (n="&amp;n&amp;")")))</f>
        <v/>
      </c>
      <c r="J13" s="8">
        <f>IF(OR(A13="",J3=""),"",LET(a,AVERAGEIFS(tblObs[Entrustment_Level],tblObs[Learner_ID],A13,tblObs[EPA_ID],J3),n,COUNTIFS(tblObs[Learner_ID],A13,tblObs[EPA_ID],J3),IF(n=0,"",TEXT(a,"0.0")&amp;" (n="&amp;n&amp;")")))</f>
        <v/>
      </c>
      <c r="K13" s="8">
        <f>IF(OR(A13="",K3=""),"",LET(a,AVERAGEIFS(tblObs[Entrustment_Level],tblObs[Learner_ID],A13,tblObs[EPA_ID],K3),n,COUNTIFS(tblObs[Learner_ID],A13,tblObs[EPA_ID],K3),IF(n=0,"",TEXT(a,"0.0")&amp;" (n="&amp;n&amp;")")))</f>
        <v/>
      </c>
      <c r="L13" s="8">
        <f>IF(OR(A13="",L3=""),"",LET(a,AVERAGEIFS(tblObs[Entrustment_Level],tblObs[Learner_ID],A13,tblObs[EPA_ID],L3),n,COUNTIFS(tblObs[Learner_ID],A13,tblObs[EPA_ID],L3),IF(n=0,"",TEXT(a,"0.0")&amp;" (n="&amp;n&amp;")")))</f>
        <v/>
      </c>
      <c r="M13" s="8">
        <f>IF(OR(A13="",M3=""),"",LET(a,AVERAGEIFS(tblObs[Entrustment_Level],tblObs[Learner_ID],A13,tblObs[EPA_ID],M3),n,COUNTIFS(tblObs[Learner_ID],A13,tblObs[EPA_ID],M3),IF(n=0,"",TEXT(a,"0.0")&amp;" (n="&amp;n&amp;")")))</f>
        <v/>
      </c>
    </row>
    <row r="14">
      <c r="A14">
        <f>IFERROR(INDEX(tblLearners[Learner_ID],ROW()-3),"")</f>
        <v/>
      </c>
      <c r="B14" s="8">
        <f>IF(OR(A14="",B3=""),"",LET(a,AVERAGEIFS(tblObs[Entrustment_Level],tblObs[Learner_ID],A14,tblObs[EPA_ID],B3),n,COUNTIFS(tblObs[Learner_ID],A14,tblObs[EPA_ID],B3),IF(n=0,"",TEXT(a,"0.0")&amp;" (n="&amp;n&amp;")")))</f>
        <v/>
      </c>
      <c r="C14" s="8">
        <f>IF(OR(A14="",C3=""),"",LET(a,AVERAGEIFS(tblObs[Entrustment_Level],tblObs[Learner_ID],A14,tblObs[EPA_ID],C3),n,COUNTIFS(tblObs[Learner_ID],A14,tblObs[EPA_ID],C3),IF(n=0,"",TEXT(a,"0.0")&amp;" (n="&amp;n&amp;")")))</f>
        <v/>
      </c>
      <c r="D14" s="8">
        <f>IF(OR(A14="",D3=""),"",LET(a,AVERAGEIFS(tblObs[Entrustment_Level],tblObs[Learner_ID],A14,tblObs[EPA_ID],D3),n,COUNTIFS(tblObs[Learner_ID],A14,tblObs[EPA_ID],D3),IF(n=0,"",TEXT(a,"0.0")&amp;" (n="&amp;n&amp;")")))</f>
        <v/>
      </c>
      <c r="E14" s="8">
        <f>IF(OR(A14="",E3=""),"",LET(a,AVERAGEIFS(tblObs[Entrustment_Level],tblObs[Learner_ID],A14,tblObs[EPA_ID],E3),n,COUNTIFS(tblObs[Learner_ID],A14,tblObs[EPA_ID],E3),IF(n=0,"",TEXT(a,"0.0")&amp;" (n="&amp;n&amp;")")))</f>
        <v/>
      </c>
      <c r="F14" s="8">
        <f>IF(OR(A14="",F3=""),"",LET(a,AVERAGEIFS(tblObs[Entrustment_Level],tblObs[Learner_ID],A14,tblObs[EPA_ID],F3),n,COUNTIFS(tblObs[Learner_ID],A14,tblObs[EPA_ID],F3),IF(n=0,"",TEXT(a,"0.0")&amp;" (n="&amp;n&amp;")")))</f>
        <v/>
      </c>
      <c r="G14" s="8">
        <f>IF(OR(A14="",G3=""),"",LET(a,AVERAGEIFS(tblObs[Entrustment_Level],tblObs[Learner_ID],A14,tblObs[EPA_ID],G3),n,COUNTIFS(tblObs[Learner_ID],A14,tblObs[EPA_ID],G3),IF(n=0,"",TEXT(a,"0.0")&amp;" (n="&amp;n&amp;")")))</f>
        <v/>
      </c>
      <c r="H14" s="8">
        <f>IF(OR(A14="",H3=""),"",LET(a,AVERAGEIFS(tblObs[Entrustment_Level],tblObs[Learner_ID],A14,tblObs[EPA_ID],H3),n,COUNTIFS(tblObs[Learner_ID],A14,tblObs[EPA_ID],H3),IF(n=0,"",TEXT(a,"0.0")&amp;" (n="&amp;n&amp;")")))</f>
        <v/>
      </c>
      <c r="I14" s="8">
        <f>IF(OR(A14="",I3=""),"",LET(a,AVERAGEIFS(tblObs[Entrustment_Level],tblObs[Learner_ID],A14,tblObs[EPA_ID],I3),n,COUNTIFS(tblObs[Learner_ID],A14,tblObs[EPA_ID],I3),IF(n=0,"",TEXT(a,"0.0")&amp;" (n="&amp;n&amp;")")))</f>
        <v/>
      </c>
      <c r="J14" s="8">
        <f>IF(OR(A14="",J3=""),"",LET(a,AVERAGEIFS(tblObs[Entrustment_Level],tblObs[Learner_ID],A14,tblObs[EPA_ID],J3),n,COUNTIFS(tblObs[Learner_ID],A14,tblObs[EPA_ID],J3),IF(n=0,"",TEXT(a,"0.0")&amp;" (n="&amp;n&amp;")")))</f>
        <v/>
      </c>
      <c r="K14" s="8">
        <f>IF(OR(A14="",K3=""),"",LET(a,AVERAGEIFS(tblObs[Entrustment_Level],tblObs[Learner_ID],A14,tblObs[EPA_ID],K3),n,COUNTIFS(tblObs[Learner_ID],A14,tblObs[EPA_ID],K3),IF(n=0,"",TEXT(a,"0.0")&amp;" (n="&amp;n&amp;")")))</f>
        <v/>
      </c>
      <c r="L14" s="8">
        <f>IF(OR(A14="",L3=""),"",LET(a,AVERAGEIFS(tblObs[Entrustment_Level],tblObs[Learner_ID],A14,tblObs[EPA_ID],L3),n,COUNTIFS(tblObs[Learner_ID],A14,tblObs[EPA_ID],L3),IF(n=0,"",TEXT(a,"0.0")&amp;" (n="&amp;n&amp;")")))</f>
        <v/>
      </c>
      <c r="M14" s="8">
        <f>IF(OR(A14="",M3=""),"",LET(a,AVERAGEIFS(tblObs[Entrustment_Level],tblObs[Learner_ID],A14,tblObs[EPA_ID],M3),n,COUNTIFS(tblObs[Learner_ID],A14,tblObs[EPA_ID],M3),IF(n=0,"",TEXT(a,"0.0")&amp;" (n="&amp;n&amp;")")))</f>
        <v/>
      </c>
    </row>
    <row r="15">
      <c r="A15">
        <f>IFERROR(INDEX(tblLearners[Learner_ID],ROW()-3),"")</f>
        <v/>
      </c>
      <c r="B15" s="8">
        <f>IF(OR(A15="",B3=""),"",LET(a,AVERAGEIFS(tblObs[Entrustment_Level],tblObs[Learner_ID],A15,tblObs[EPA_ID],B3),n,COUNTIFS(tblObs[Learner_ID],A15,tblObs[EPA_ID],B3),IF(n=0,"",TEXT(a,"0.0")&amp;" (n="&amp;n&amp;")")))</f>
        <v/>
      </c>
      <c r="C15" s="8">
        <f>IF(OR(A15="",C3=""),"",LET(a,AVERAGEIFS(tblObs[Entrustment_Level],tblObs[Learner_ID],A15,tblObs[EPA_ID],C3),n,COUNTIFS(tblObs[Learner_ID],A15,tblObs[EPA_ID],C3),IF(n=0,"",TEXT(a,"0.0")&amp;" (n="&amp;n&amp;")")))</f>
        <v/>
      </c>
      <c r="D15" s="8">
        <f>IF(OR(A15="",D3=""),"",LET(a,AVERAGEIFS(tblObs[Entrustment_Level],tblObs[Learner_ID],A15,tblObs[EPA_ID],D3),n,COUNTIFS(tblObs[Learner_ID],A15,tblObs[EPA_ID],D3),IF(n=0,"",TEXT(a,"0.0")&amp;" (n="&amp;n&amp;")")))</f>
        <v/>
      </c>
      <c r="E15" s="8">
        <f>IF(OR(A15="",E3=""),"",LET(a,AVERAGEIFS(tblObs[Entrustment_Level],tblObs[Learner_ID],A15,tblObs[EPA_ID],E3),n,COUNTIFS(tblObs[Learner_ID],A15,tblObs[EPA_ID],E3),IF(n=0,"",TEXT(a,"0.0")&amp;" (n="&amp;n&amp;")")))</f>
        <v/>
      </c>
      <c r="F15" s="8">
        <f>IF(OR(A15="",F3=""),"",LET(a,AVERAGEIFS(tblObs[Entrustment_Level],tblObs[Learner_ID],A15,tblObs[EPA_ID],F3),n,COUNTIFS(tblObs[Learner_ID],A15,tblObs[EPA_ID],F3),IF(n=0,"",TEXT(a,"0.0")&amp;" (n="&amp;n&amp;")")))</f>
        <v/>
      </c>
      <c r="G15" s="8">
        <f>IF(OR(A15="",G3=""),"",LET(a,AVERAGEIFS(tblObs[Entrustment_Level],tblObs[Learner_ID],A15,tblObs[EPA_ID],G3),n,COUNTIFS(tblObs[Learner_ID],A15,tblObs[EPA_ID],G3),IF(n=0,"",TEXT(a,"0.0")&amp;" (n="&amp;n&amp;")")))</f>
        <v/>
      </c>
      <c r="H15" s="8">
        <f>IF(OR(A15="",H3=""),"",LET(a,AVERAGEIFS(tblObs[Entrustment_Level],tblObs[Learner_ID],A15,tblObs[EPA_ID],H3),n,COUNTIFS(tblObs[Learner_ID],A15,tblObs[EPA_ID],H3),IF(n=0,"",TEXT(a,"0.0")&amp;" (n="&amp;n&amp;")")))</f>
        <v/>
      </c>
      <c r="I15" s="8">
        <f>IF(OR(A15="",I3=""),"",LET(a,AVERAGEIFS(tblObs[Entrustment_Level],tblObs[Learner_ID],A15,tblObs[EPA_ID],I3),n,COUNTIFS(tblObs[Learner_ID],A15,tblObs[EPA_ID],I3),IF(n=0,"",TEXT(a,"0.0")&amp;" (n="&amp;n&amp;")")))</f>
        <v/>
      </c>
      <c r="J15" s="8">
        <f>IF(OR(A15="",J3=""),"",LET(a,AVERAGEIFS(tblObs[Entrustment_Level],tblObs[Learner_ID],A15,tblObs[EPA_ID],J3),n,COUNTIFS(tblObs[Learner_ID],A15,tblObs[EPA_ID],J3),IF(n=0,"",TEXT(a,"0.0")&amp;" (n="&amp;n&amp;")")))</f>
        <v/>
      </c>
      <c r="K15" s="8">
        <f>IF(OR(A15="",K3=""),"",LET(a,AVERAGEIFS(tblObs[Entrustment_Level],tblObs[Learner_ID],A15,tblObs[EPA_ID],K3),n,COUNTIFS(tblObs[Learner_ID],A15,tblObs[EPA_ID],K3),IF(n=0,"",TEXT(a,"0.0")&amp;" (n="&amp;n&amp;")")))</f>
        <v/>
      </c>
      <c r="L15" s="8">
        <f>IF(OR(A15="",L3=""),"",LET(a,AVERAGEIFS(tblObs[Entrustment_Level],tblObs[Learner_ID],A15,tblObs[EPA_ID],L3),n,COUNTIFS(tblObs[Learner_ID],A15,tblObs[EPA_ID],L3),IF(n=0,"",TEXT(a,"0.0")&amp;" (n="&amp;n&amp;")")))</f>
        <v/>
      </c>
      <c r="M15" s="8">
        <f>IF(OR(A15="",M3=""),"",LET(a,AVERAGEIFS(tblObs[Entrustment_Level],tblObs[Learner_ID],A15,tblObs[EPA_ID],M3),n,COUNTIFS(tblObs[Learner_ID],A15,tblObs[EPA_ID],M3),IF(n=0,"",TEXT(a,"0.0")&amp;" (n="&amp;n&amp;")")))</f>
        <v/>
      </c>
    </row>
    <row r="16">
      <c r="A16">
        <f>IFERROR(INDEX(tblLearners[Learner_ID],ROW()-3),"")</f>
        <v/>
      </c>
      <c r="B16" s="8">
        <f>IF(OR(A16="",B3=""),"",LET(a,AVERAGEIFS(tblObs[Entrustment_Level],tblObs[Learner_ID],A16,tblObs[EPA_ID],B3),n,COUNTIFS(tblObs[Learner_ID],A16,tblObs[EPA_ID],B3),IF(n=0,"",TEXT(a,"0.0")&amp;" (n="&amp;n&amp;")")))</f>
        <v/>
      </c>
      <c r="C16" s="8">
        <f>IF(OR(A16="",C3=""),"",LET(a,AVERAGEIFS(tblObs[Entrustment_Level],tblObs[Learner_ID],A16,tblObs[EPA_ID],C3),n,COUNTIFS(tblObs[Learner_ID],A16,tblObs[EPA_ID],C3),IF(n=0,"",TEXT(a,"0.0")&amp;" (n="&amp;n&amp;")")))</f>
        <v/>
      </c>
      <c r="D16" s="8">
        <f>IF(OR(A16="",D3=""),"",LET(a,AVERAGEIFS(tblObs[Entrustment_Level],tblObs[Learner_ID],A16,tblObs[EPA_ID],D3),n,COUNTIFS(tblObs[Learner_ID],A16,tblObs[EPA_ID],D3),IF(n=0,"",TEXT(a,"0.0")&amp;" (n="&amp;n&amp;")")))</f>
        <v/>
      </c>
      <c r="E16" s="8">
        <f>IF(OR(A16="",E3=""),"",LET(a,AVERAGEIFS(tblObs[Entrustment_Level],tblObs[Learner_ID],A16,tblObs[EPA_ID],E3),n,COUNTIFS(tblObs[Learner_ID],A16,tblObs[EPA_ID],E3),IF(n=0,"",TEXT(a,"0.0")&amp;" (n="&amp;n&amp;")")))</f>
        <v/>
      </c>
      <c r="F16" s="8">
        <f>IF(OR(A16="",F3=""),"",LET(a,AVERAGEIFS(tblObs[Entrustment_Level],tblObs[Learner_ID],A16,tblObs[EPA_ID],F3),n,COUNTIFS(tblObs[Learner_ID],A16,tblObs[EPA_ID],F3),IF(n=0,"",TEXT(a,"0.0")&amp;" (n="&amp;n&amp;")")))</f>
        <v/>
      </c>
      <c r="G16" s="8">
        <f>IF(OR(A16="",G3=""),"",LET(a,AVERAGEIFS(tblObs[Entrustment_Level],tblObs[Learner_ID],A16,tblObs[EPA_ID],G3),n,COUNTIFS(tblObs[Learner_ID],A16,tblObs[EPA_ID],G3),IF(n=0,"",TEXT(a,"0.0")&amp;" (n="&amp;n&amp;")")))</f>
        <v/>
      </c>
      <c r="H16" s="8">
        <f>IF(OR(A16="",H3=""),"",LET(a,AVERAGEIFS(tblObs[Entrustment_Level],tblObs[Learner_ID],A16,tblObs[EPA_ID],H3),n,COUNTIFS(tblObs[Learner_ID],A16,tblObs[EPA_ID],H3),IF(n=0,"",TEXT(a,"0.0")&amp;" (n="&amp;n&amp;")")))</f>
        <v/>
      </c>
      <c r="I16" s="8">
        <f>IF(OR(A16="",I3=""),"",LET(a,AVERAGEIFS(tblObs[Entrustment_Level],tblObs[Learner_ID],A16,tblObs[EPA_ID],I3),n,COUNTIFS(tblObs[Learner_ID],A16,tblObs[EPA_ID],I3),IF(n=0,"",TEXT(a,"0.0")&amp;" (n="&amp;n&amp;")")))</f>
        <v/>
      </c>
      <c r="J16" s="8">
        <f>IF(OR(A16="",J3=""),"",LET(a,AVERAGEIFS(tblObs[Entrustment_Level],tblObs[Learner_ID],A16,tblObs[EPA_ID],J3),n,COUNTIFS(tblObs[Learner_ID],A16,tblObs[EPA_ID],J3),IF(n=0,"",TEXT(a,"0.0")&amp;" (n="&amp;n&amp;")")))</f>
        <v/>
      </c>
      <c r="K16" s="8">
        <f>IF(OR(A16="",K3=""),"",LET(a,AVERAGEIFS(tblObs[Entrustment_Level],tblObs[Learner_ID],A16,tblObs[EPA_ID],K3),n,COUNTIFS(tblObs[Learner_ID],A16,tblObs[EPA_ID],K3),IF(n=0,"",TEXT(a,"0.0")&amp;" (n="&amp;n&amp;")")))</f>
        <v/>
      </c>
      <c r="L16" s="8">
        <f>IF(OR(A16="",L3=""),"",LET(a,AVERAGEIFS(tblObs[Entrustment_Level],tblObs[Learner_ID],A16,tblObs[EPA_ID],L3),n,COUNTIFS(tblObs[Learner_ID],A16,tblObs[EPA_ID],L3),IF(n=0,"",TEXT(a,"0.0")&amp;" (n="&amp;n&amp;")")))</f>
        <v/>
      </c>
      <c r="M16" s="8">
        <f>IF(OR(A16="",M3=""),"",LET(a,AVERAGEIFS(tblObs[Entrustment_Level],tblObs[Learner_ID],A16,tblObs[EPA_ID],M3),n,COUNTIFS(tblObs[Learner_ID],A16,tblObs[EPA_ID],M3),IF(n=0,"",TEXT(a,"0.0")&amp;" (n="&amp;n&amp;")")))</f>
        <v/>
      </c>
    </row>
    <row r="17">
      <c r="A17">
        <f>IFERROR(INDEX(tblLearners[Learner_ID],ROW()-3),"")</f>
        <v/>
      </c>
      <c r="B17" s="8">
        <f>IF(OR(A17="",B3=""),"",LET(a,AVERAGEIFS(tblObs[Entrustment_Level],tblObs[Learner_ID],A17,tblObs[EPA_ID],B3),n,COUNTIFS(tblObs[Learner_ID],A17,tblObs[EPA_ID],B3),IF(n=0,"",TEXT(a,"0.0")&amp;" (n="&amp;n&amp;")")))</f>
        <v/>
      </c>
      <c r="C17" s="8">
        <f>IF(OR(A17="",C3=""),"",LET(a,AVERAGEIFS(tblObs[Entrustment_Level],tblObs[Learner_ID],A17,tblObs[EPA_ID],C3),n,COUNTIFS(tblObs[Learner_ID],A17,tblObs[EPA_ID],C3),IF(n=0,"",TEXT(a,"0.0")&amp;" (n="&amp;n&amp;")")))</f>
        <v/>
      </c>
      <c r="D17" s="8">
        <f>IF(OR(A17="",D3=""),"",LET(a,AVERAGEIFS(tblObs[Entrustment_Level],tblObs[Learner_ID],A17,tblObs[EPA_ID],D3),n,COUNTIFS(tblObs[Learner_ID],A17,tblObs[EPA_ID],D3),IF(n=0,"",TEXT(a,"0.0")&amp;" (n="&amp;n&amp;")")))</f>
        <v/>
      </c>
      <c r="E17" s="8">
        <f>IF(OR(A17="",E3=""),"",LET(a,AVERAGEIFS(tblObs[Entrustment_Level],tblObs[Learner_ID],A17,tblObs[EPA_ID],E3),n,COUNTIFS(tblObs[Learner_ID],A17,tblObs[EPA_ID],E3),IF(n=0,"",TEXT(a,"0.0")&amp;" (n="&amp;n&amp;")")))</f>
        <v/>
      </c>
      <c r="F17" s="8">
        <f>IF(OR(A17="",F3=""),"",LET(a,AVERAGEIFS(tblObs[Entrustment_Level],tblObs[Learner_ID],A17,tblObs[EPA_ID],F3),n,COUNTIFS(tblObs[Learner_ID],A17,tblObs[EPA_ID],F3),IF(n=0,"",TEXT(a,"0.0")&amp;" (n="&amp;n&amp;")")))</f>
        <v/>
      </c>
      <c r="G17" s="8">
        <f>IF(OR(A17="",G3=""),"",LET(a,AVERAGEIFS(tblObs[Entrustment_Level],tblObs[Learner_ID],A17,tblObs[EPA_ID],G3),n,COUNTIFS(tblObs[Learner_ID],A17,tblObs[EPA_ID],G3),IF(n=0,"",TEXT(a,"0.0")&amp;" (n="&amp;n&amp;")")))</f>
        <v/>
      </c>
      <c r="H17" s="8">
        <f>IF(OR(A17="",H3=""),"",LET(a,AVERAGEIFS(tblObs[Entrustment_Level],tblObs[Learner_ID],A17,tblObs[EPA_ID],H3),n,COUNTIFS(tblObs[Learner_ID],A17,tblObs[EPA_ID],H3),IF(n=0,"",TEXT(a,"0.0")&amp;" (n="&amp;n&amp;")")))</f>
        <v/>
      </c>
      <c r="I17" s="8">
        <f>IF(OR(A17="",I3=""),"",LET(a,AVERAGEIFS(tblObs[Entrustment_Level],tblObs[Learner_ID],A17,tblObs[EPA_ID],I3),n,COUNTIFS(tblObs[Learner_ID],A17,tblObs[EPA_ID],I3),IF(n=0,"",TEXT(a,"0.0")&amp;" (n="&amp;n&amp;")")))</f>
        <v/>
      </c>
      <c r="J17" s="8">
        <f>IF(OR(A17="",J3=""),"",LET(a,AVERAGEIFS(tblObs[Entrustment_Level],tblObs[Learner_ID],A17,tblObs[EPA_ID],J3),n,COUNTIFS(tblObs[Learner_ID],A17,tblObs[EPA_ID],J3),IF(n=0,"",TEXT(a,"0.0")&amp;" (n="&amp;n&amp;")")))</f>
        <v/>
      </c>
      <c r="K17" s="8">
        <f>IF(OR(A17="",K3=""),"",LET(a,AVERAGEIFS(tblObs[Entrustment_Level],tblObs[Learner_ID],A17,tblObs[EPA_ID],K3),n,COUNTIFS(tblObs[Learner_ID],A17,tblObs[EPA_ID],K3),IF(n=0,"",TEXT(a,"0.0")&amp;" (n="&amp;n&amp;")")))</f>
        <v/>
      </c>
      <c r="L17" s="8">
        <f>IF(OR(A17="",L3=""),"",LET(a,AVERAGEIFS(tblObs[Entrustment_Level],tblObs[Learner_ID],A17,tblObs[EPA_ID],L3),n,COUNTIFS(tblObs[Learner_ID],A17,tblObs[EPA_ID],L3),IF(n=0,"",TEXT(a,"0.0")&amp;" (n="&amp;n&amp;")")))</f>
        <v/>
      </c>
      <c r="M17" s="8">
        <f>IF(OR(A17="",M3=""),"",LET(a,AVERAGEIFS(tblObs[Entrustment_Level],tblObs[Learner_ID],A17,tblObs[EPA_ID],M3),n,COUNTIFS(tblObs[Learner_ID],A17,tblObs[EPA_ID],M3),IF(n=0,"",TEXT(a,"0.0")&amp;" (n="&amp;n&amp;")")))</f>
        <v/>
      </c>
    </row>
    <row r="18">
      <c r="A18">
        <f>IFERROR(INDEX(tblLearners[Learner_ID],ROW()-3),"")</f>
        <v/>
      </c>
      <c r="B18" s="8">
        <f>IF(OR(A18="",B3=""),"",LET(a,AVERAGEIFS(tblObs[Entrustment_Level],tblObs[Learner_ID],A18,tblObs[EPA_ID],B3),n,COUNTIFS(tblObs[Learner_ID],A18,tblObs[EPA_ID],B3),IF(n=0,"",TEXT(a,"0.0")&amp;" (n="&amp;n&amp;")")))</f>
        <v/>
      </c>
      <c r="C18" s="8">
        <f>IF(OR(A18="",C3=""),"",LET(a,AVERAGEIFS(tblObs[Entrustment_Level],tblObs[Learner_ID],A18,tblObs[EPA_ID],C3),n,COUNTIFS(tblObs[Learner_ID],A18,tblObs[EPA_ID],C3),IF(n=0,"",TEXT(a,"0.0")&amp;" (n="&amp;n&amp;")")))</f>
        <v/>
      </c>
      <c r="D18" s="8">
        <f>IF(OR(A18="",D3=""),"",LET(a,AVERAGEIFS(tblObs[Entrustment_Level],tblObs[Learner_ID],A18,tblObs[EPA_ID],D3),n,COUNTIFS(tblObs[Learner_ID],A18,tblObs[EPA_ID],D3),IF(n=0,"",TEXT(a,"0.0")&amp;" (n="&amp;n&amp;")")))</f>
        <v/>
      </c>
      <c r="E18" s="8">
        <f>IF(OR(A18="",E3=""),"",LET(a,AVERAGEIFS(tblObs[Entrustment_Level],tblObs[Learner_ID],A18,tblObs[EPA_ID],E3),n,COUNTIFS(tblObs[Learner_ID],A18,tblObs[EPA_ID],E3),IF(n=0,"",TEXT(a,"0.0")&amp;" (n="&amp;n&amp;")")))</f>
        <v/>
      </c>
      <c r="F18" s="8">
        <f>IF(OR(A18="",F3=""),"",LET(a,AVERAGEIFS(tblObs[Entrustment_Level],tblObs[Learner_ID],A18,tblObs[EPA_ID],F3),n,COUNTIFS(tblObs[Learner_ID],A18,tblObs[EPA_ID],F3),IF(n=0,"",TEXT(a,"0.0")&amp;" (n="&amp;n&amp;")")))</f>
        <v/>
      </c>
      <c r="G18" s="8">
        <f>IF(OR(A18="",G3=""),"",LET(a,AVERAGEIFS(tblObs[Entrustment_Level],tblObs[Learner_ID],A18,tblObs[EPA_ID],G3),n,COUNTIFS(tblObs[Learner_ID],A18,tblObs[EPA_ID],G3),IF(n=0,"",TEXT(a,"0.0")&amp;" (n="&amp;n&amp;")")))</f>
        <v/>
      </c>
      <c r="H18" s="8">
        <f>IF(OR(A18="",H3=""),"",LET(a,AVERAGEIFS(tblObs[Entrustment_Level],tblObs[Learner_ID],A18,tblObs[EPA_ID],H3),n,COUNTIFS(tblObs[Learner_ID],A18,tblObs[EPA_ID],H3),IF(n=0,"",TEXT(a,"0.0")&amp;" (n="&amp;n&amp;")")))</f>
        <v/>
      </c>
      <c r="I18" s="8">
        <f>IF(OR(A18="",I3=""),"",LET(a,AVERAGEIFS(tblObs[Entrustment_Level],tblObs[Learner_ID],A18,tblObs[EPA_ID],I3),n,COUNTIFS(tblObs[Learner_ID],A18,tblObs[EPA_ID],I3),IF(n=0,"",TEXT(a,"0.0")&amp;" (n="&amp;n&amp;")")))</f>
        <v/>
      </c>
      <c r="J18" s="8">
        <f>IF(OR(A18="",J3=""),"",LET(a,AVERAGEIFS(tblObs[Entrustment_Level],tblObs[Learner_ID],A18,tblObs[EPA_ID],J3),n,COUNTIFS(tblObs[Learner_ID],A18,tblObs[EPA_ID],J3),IF(n=0,"",TEXT(a,"0.0")&amp;" (n="&amp;n&amp;")")))</f>
        <v/>
      </c>
      <c r="K18" s="8">
        <f>IF(OR(A18="",K3=""),"",LET(a,AVERAGEIFS(tblObs[Entrustment_Level],tblObs[Learner_ID],A18,tblObs[EPA_ID],K3),n,COUNTIFS(tblObs[Learner_ID],A18,tblObs[EPA_ID],K3),IF(n=0,"",TEXT(a,"0.0")&amp;" (n="&amp;n&amp;")")))</f>
        <v/>
      </c>
      <c r="L18" s="8">
        <f>IF(OR(A18="",L3=""),"",LET(a,AVERAGEIFS(tblObs[Entrustment_Level],tblObs[Learner_ID],A18,tblObs[EPA_ID],L3),n,COUNTIFS(tblObs[Learner_ID],A18,tblObs[EPA_ID],L3),IF(n=0,"",TEXT(a,"0.0")&amp;" (n="&amp;n&amp;")")))</f>
        <v/>
      </c>
      <c r="M18" s="8">
        <f>IF(OR(A18="",M3=""),"",LET(a,AVERAGEIFS(tblObs[Entrustment_Level],tblObs[Learner_ID],A18,tblObs[EPA_ID],M3),n,COUNTIFS(tblObs[Learner_ID],A18,tblObs[EPA_ID],M3),IF(n=0,"",TEXT(a,"0.0")&amp;" (n="&amp;n&amp;")")))</f>
        <v/>
      </c>
    </row>
    <row r="19">
      <c r="A19">
        <f>IFERROR(INDEX(tblLearners[Learner_ID],ROW()-3),"")</f>
        <v/>
      </c>
      <c r="B19" s="8">
        <f>IF(OR(A19="",B3=""),"",LET(a,AVERAGEIFS(tblObs[Entrustment_Level],tblObs[Learner_ID],A19,tblObs[EPA_ID],B3),n,COUNTIFS(tblObs[Learner_ID],A19,tblObs[EPA_ID],B3),IF(n=0,"",TEXT(a,"0.0")&amp;" (n="&amp;n&amp;")")))</f>
        <v/>
      </c>
      <c r="C19" s="8">
        <f>IF(OR(A19="",C3=""),"",LET(a,AVERAGEIFS(tblObs[Entrustment_Level],tblObs[Learner_ID],A19,tblObs[EPA_ID],C3),n,COUNTIFS(tblObs[Learner_ID],A19,tblObs[EPA_ID],C3),IF(n=0,"",TEXT(a,"0.0")&amp;" (n="&amp;n&amp;")")))</f>
        <v/>
      </c>
      <c r="D19" s="8">
        <f>IF(OR(A19="",D3=""),"",LET(a,AVERAGEIFS(tblObs[Entrustment_Level],tblObs[Learner_ID],A19,tblObs[EPA_ID],D3),n,COUNTIFS(tblObs[Learner_ID],A19,tblObs[EPA_ID],D3),IF(n=0,"",TEXT(a,"0.0")&amp;" (n="&amp;n&amp;")")))</f>
        <v/>
      </c>
      <c r="E19" s="8">
        <f>IF(OR(A19="",E3=""),"",LET(a,AVERAGEIFS(tblObs[Entrustment_Level],tblObs[Learner_ID],A19,tblObs[EPA_ID],E3),n,COUNTIFS(tblObs[Learner_ID],A19,tblObs[EPA_ID],E3),IF(n=0,"",TEXT(a,"0.0")&amp;" (n="&amp;n&amp;")")))</f>
        <v/>
      </c>
      <c r="F19" s="8">
        <f>IF(OR(A19="",F3=""),"",LET(a,AVERAGEIFS(tblObs[Entrustment_Level],tblObs[Learner_ID],A19,tblObs[EPA_ID],F3),n,COUNTIFS(tblObs[Learner_ID],A19,tblObs[EPA_ID],F3),IF(n=0,"",TEXT(a,"0.0")&amp;" (n="&amp;n&amp;")")))</f>
        <v/>
      </c>
      <c r="G19" s="8">
        <f>IF(OR(A19="",G3=""),"",LET(a,AVERAGEIFS(tblObs[Entrustment_Level],tblObs[Learner_ID],A19,tblObs[EPA_ID],G3),n,COUNTIFS(tblObs[Learner_ID],A19,tblObs[EPA_ID],G3),IF(n=0,"",TEXT(a,"0.0")&amp;" (n="&amp;n&amp;")")))</f>
        <v/>
      </c>
      <c r="H19" s="8">
        <f>IF(OR(A19="",H3=""),"",LET(a,AVERAGEIFS(tblObs[Entrustment_Level],tblObs[Learner_ID],A19,tblObs[EPA_ID],H3),n,COUNTIFS(tblObs[Learner_ID],A19,tblObs[EPA_ID],H3),IF(n=0,"",TEXT(a,"0.0")&amp;" (n="&amp;n&amp;")")))</f>
        <v/>
      </c>
      <c r="I19" s="8">
        <f>IF(OR(A19="",I3=""),"",LET(a,AVERAGEIFS(tblObs[Entrustment_Level],tblObs[Learner_ID],A19,tblObs[EPA_ID],I3),n,COUNTIFS(tblObs[Learner_ID],A19,tblObs[EPA_ID],I3),IF(n=0,"",TEXT(a,"0.0")&amp;" (n="&amp;n&amp;")")))</f>
        <v/>
      </c>
      <c r="J19" s="8">
        <f>IF(OR(A19="",J3=""),"",LET(a,AVERAGEIFS(tblObs[Entrustment_Level],tblObs[Learner_ID],A19,tblObs[EPA_ID],J3),n,COUNTIFS(tblObs[Learner_ID],A19,tblObs[EPA_ID],J3),IF(n=0,"",TEXT(a,"0.0")&amp;" (n="&amp;n&amp;")")))</f>
        <v/>
      </c>
      <c r="K19" s="8">
        <f>IF(OR(A19="",K3=""),"",LET(a,AVERAGEIFS(tblObs[Entrustment_Level],tblObs[Learner_ID],A19,tblObs[EPA_ID],K3),n,COUNTIFS(tblObs[Learner_ID],A19,tblObs[EPA_ID],K3),IF(n=0,"",TEXT(a,"0.0")&amp;" (n="&amp;n&amp;")")))</f>
        <v/>
      </c>
      <c r="L19" s="8">
        <f>IF(OR(A19="",L3=""),"",LET(a,AVERAGEIFS(tblObs[Entrustment_Level],tblObs[Learner_ID],A19,tblObs[EPA_ID],L3),n,COUNTIFS(tblObs[Learner_ID],A19,tblObs[EPA_ID],L3),IF(n=0,"",TEXT(a,"0.0")&amp;" (n="&amp;n&amp;")")))</f>
        <v/>
      </c>
      <c r="M19" s="8">
        <f>IF(OR(A19="",M3=""),"",LET(a,AVERAGEIFS(tblObs[Entrustment_Level],tblObs[Learner_ID],A19,tblObs[EPA_ID],M3),n,COUNTIFS(tblObs[Learner_ID],A19,tblObs[EPA_ID],M3),IF(n=0,"",TEXT(a,"0.0")&amp;" (n="&amp;n&amp;")")))</f>
        <v/>
      </c>
    </row>
    <row r="20">
      <c r="A20">
        <f>IFERROR(INDEX(tblLearners[Learner_ID],ROW()-3),"")</f>
        <v/>
      </c>
      <c r="B20" s="8">
        <f>IF(OR(A20="",B3=""),"",LET(a,AVERAGEIFS(tblObs[Entrustment_Level],tblObs[Learner_ID],A20,tblObs[EPA_ID],B3),n,COUNTIFS(tblObs[Learner_ID],A20,tblObs[EPA_ID],B3),IF(n=0,"",TEXT(a,"0.0")&amp;" (n="&amp;n&amp;")")))</f>
        <v/>
      </c>
      <c r="C20" s="8">
        <f>IF(OR(A20="",C3=""),"",LET(a,AVERAGEIFS(tblObs[Entrustment_Level],tblObs[Learner_ID],A20,tblObs[EPA_ID],C3),n,COUNTIFS(tblObs[Learner_ID],A20,tblObs[EPA_ID],C3),IF(n=0,"",TEXT(a,"0.0")&amp;" (n="&amp;n&amp;")")))</f>
        <v/>
      </c>
      <c r="D20" s="8">
        <f>IF(OR(A20="",D3=""),"",LET(a,AVERAGEIFS(tblObs[Entrustment_Level],tblObs[Learner_ID],A20,tblObs[EPA_ID],D3),n,COUNTIFS(tblObs[Learner_ID],A20,tblObs[EPA_ID],D3),IF(n=0,"",TEXT(a,"0.0")&amp;" (n="&amp;n&amp;")")))</f>
        <v/>
      </c>
      <c r="E20" s="8">
        <f>IF(OR(A20="",E3=""),"",LET(a,AVERAGEIFS(tblObs[Entrustment_Level],tblObs[Learner_ID],A20,tblObs[EPA_ID],E3),n,COUNTIFS(tblObs[Learner_ID],A20,tblObs[EPA_ID],E3),IF(n=0,"",TEXT(a,"0.0")&amp;" (n="&amp;n&amp;")")))</f>
        <v/>
      </c>
      <c r="F20" s="8">
        <f>IF(OR(A20="",F3=""),"",LET(a,AVERAGEIFS(tblObs[Entrustment_Level],tblObs[Learner_ID],A20,tblObs[EPA_ID],F3),n,COUNTIFS(tblObs[Learner_ID],A20,tblObs[EPA_ID],F3),IF(n=0,"",TEXT(a,"0.0")&amp;" (n="&amp;n&amp;")")))</f>
        <v/>
      </c>
      <c r="G20" s="8">
        <f>IF(OR(A20="",G3=""),"",LET(a,AVERAGEIFS(tblObs[Entrustment_Level],tblObs[Learner_ID],A20,tblObs[EPA_ID],G3),n,COUNTIFS(tblObs[Learner_ID],A20,tblObs[EPA_ID],G3),IF(n=0,"",TEXT(a,"0.0")&amp;" (n="&amp;n&amp;")")))</f>
        <v/>
      </c>
      <c r="H20" s="8">
        <f>IF(OR(A20="",H3=""),"",LET(a,AVERAGEIFS(tblObs[Entrustment_Level],tblObs[Learner_ID],A20,tblObs[EPA_ID],H3),n,COUNTIFS(tblObs[Learner_ID],A20,tblObs[EPA_ID],H3),IF(n=0,"",TEXT(a,"0.0")&amp;" (n="&amp;n&amp;")")))</f>
        <v/>
      </c>
      <c r="I20" s="8">
        <f>IF(OR(A20="",I3=""),"",LET(a,AVERAGEIFS(tblObs[Entrustment_Level],tblObs[Learner_ID],A20,tblObs[EPA_ID],I3),n,COUNTIFS(tblObs[Learner_ID],A20,tblObs[EPA_ID],I3),IF(n=0,"",TEXT(a,"0.0")&amp;" (n="&amp;n&amp;")")))</f>
        <v/>
      </c>
      <c r="J20" s="8">
        <f>IF(OR(A20="",J3=""),"",LET(a,AVERAGEIFS(tblObs[Entrustment_Level],tblObs[Learner_ID],A20,tblObs[EPA_ID],J3),n,COUNTIFS(tblObs[Learner_ID],A20,tblObs[EPA_ID],J3),IF(n=0,"",TEXT(a,"0.0")&amp;" (n="&amp;n&amp;")")))</f>
        <v/>
      </c>
      <c r="K20" s="8">
        <f>IF(OR(A20="",K3=""),"",LET(a,AVERAGEIFS(tblObs[Entrustment_Level],tblObs[Learner_ID],A20,tblObs[EPA_ID],K3),n,COUNTIFS(tblObs[Learner_ID],A20,tblObs[EPA_ID],K3),IF(n=0,"",TEXT(a,"0.0")&amp;" (n="&amp;n&amp;")")))</f>
        <v/>
      </c>
      <c r="L20" s="8">
        <f>IF(OR(A20="",L3=""),"",LET(a,AVERAGEIFS(tblObs[Entrustment_Level],tblObs[Learner_ID],A20,tblObs[EPA_ID],L3),n,COUNTIFS(tblObs[Learner_ID],A20,tblObs[EPA_ID],L3),IF(n=0,"",TEXT(a,"0.0")&amp;" (n="&amp;n&amp;")")))</f>
        <v/>
      </c>
      <c r="M20" s="8">
        <f>IF(OR(A20="",M3=""),"",LET(a,AVERAGEIFS(tblObs[Entrustment_Level],tblObs[Learner_ID],A20,tblObs[EPA_ID],M3),n,COUNTIFS(tblObs[Learner_ID],A20,tblObs[EPA_ID],M3),IF(n=0,"",TEXT(a,"0.0")&amp;" (n="&amp;n&amp;")")))</f>
        <v/>
      </c>
    </row>
    <row r="21">
      <c r="A21">
        <f>IFERROR(INDEX(tblLearners[Learner_ID],ROW()-3),"")</f>
        <v/>
      </c>
      <c r="B21" s="8">
        <f>IF(OR(A21="",B3=""),"",LET(a,AVERAGEIFS(tblObs[Entrustment_Level],tblObs[Learner_ID],A21,tblObs[EPA_ID],B3),n,COUNTIFS(tblObs[Learner_ID],A21,tblObs[EPA_ID],B3),IF(n=0,"",TEXT(a,"0.0")&amp;" (n="&amp;n&amp;")")))</f>
        <v/>
      </c>
      <c r="C21" s="8">
        <f>IF(OR(A21="",C3=""),"",LET(a,AVERAGEIFS(tblObs[Entrustment_Level],tblObs[Learner_ID],A21,tblObs[EPA_ID],C3),n,COUNTIFS(tblObs[Learner_ID],A21,tblObs[EPA_ID],C3),IF(n=0,"",TEXT(a,"0.0")&amp;" (n="&amp;n&amp;")")))</f>
        <v/>
      </c>
      <c r="D21" s="8">
        <f>IF(OR(A21="",D3=""),"",LET(a,AVERAGEIFS(tblObs[Entrustment_Level],tblObs[Learner_ID],A21,tblObs[EPA_ID],D3),n,COUNTIFS(tblObs[Learner_ID],A21,tblObs[EPA_ID],D3),IF(n=0,"",TEXT(a,"0.0")&amp;" (n="&amp;n&amp;")")))</f>
        <v/>
      </c>
      <c r="E21" s="8">
        <f>IF(OR(A21="",E3=""),"",LET(a,AVERAGEIFS(tblObs[Entrustment_Level],tblObs[Learner_ID],A21,tblObs[EPA_ID],E3),n,COUNTIFS(tblObs[Learner_ID],A21,tblObs[EPA_ID],E3),IF(n=0,"",TEXT(a,"0.0")&amp;" (n="&amp;n&amp;")")))</f>
        <v/>
      </c>
      <c r="F21" s="8">
        <f>IF(OR(A21="",F3=""),"",LET(a,AVERAGEIFS(tblObs[Entrustment_Level],tblObs[Learner_ID],A21,tblObs[EPA_ID],F3),n,COUNTIFS(tblObs[Learner_ID],A21,tblObs[EPA_ID],F3),IF(n=0,"",TEXT(a,"0.0")&amp;" (n="&amp;n&amp;")")))</f>
        <v/>
      </c>
      <c r="G21" s="8">
        <f>IF(OR(A21="",G3=""),"",LET(a,AVERAGEIFS(tblObs[Entrustment_Level],tblObs[Learner_ID],A21,tblObs[EPA_ID],G3),n,COUNTIFS(tblObs[Learner_ID],A21,tblObs[EPA_ID],G3),IF(n=0,"",TEXT(a,"0.0")&amp;" (n="&amp;n&amp;")")))</f>
        <v/>
      </c>
      <c r="H21" s="8">
        <f>IF(OR(A21="",H3=""),"",LET(a,AVERAGEIFS(tblObs[Entrustment_Level],tblObs[Learner_ID],A21,tblObs[EPA_ID],H3),n,COUNTIFS(tblObs[Learner_ID],A21,tblObs[EPA_ID],H3),IF(n=0,"",TEXT(a,"0.0")&amp;" (n="&amp;n&amp;")")))</f>
        <v/>
      </c>
      <c r="I21" s="8">
        <f>IF(OR(A21="",I3=""),"",LET(a,AVERAGEIFS(tblObs[Entrustment_Level],tblObs[Learner_ID],A21,tblObs[EPA_ID],I3),n,COUNTIFS(tblObs[Learner_ID],A21,tblObs[EPA_ID],I3),IF(n=0,"",TEXT(a,"0.0")&amp;" (n="&amp;n&amp;")")))</f>
        <v/>
      </c>
      <c r="J21" s="8">
        <f>IF(OR(A21="",J3=""),"",LET(a,AVERAGEIFS(tblObs[Entrustment_Level],tblObs[Learner_ID],A21,tblObs[EPA_ID],J3),n,COUNTIFS(tblObs[Learner_ID],A21,tblObs[EPA_ID],J3),IF(n=0,"",TEXT(a,"0.0")&amp;" (n="&amp;n&amp;")")))</f>
        <v/>
      </c>
      <c r="K21" s="8">
        <f>IF(OR(A21="",K3=""),"",LET(a,AVERAGEIFS(tblObs[Entrustment_Level],tblObs[Learner_ID],A21,tblObs[EPA_ID],K3),n,COUNTIFS(tblObs[Learner_ID],A21,tblObs[EPA_ID],K3),IF(n=0,"",TEXT(a,"0.0")&amp;" (n="&amp;n&amp;")")))</f>
        <v/>
      </c>
      <c r="L21" s="8">
        <f>IF(OR(A21="",L3=""),"",LET(a,AVERAGEIFS(tblObs[Entrustment_Level],tblObs[Learner_ID],A21,tblObs[EPA_ID],L3),n,COUNTIFS(tblObs[Learner_ID],A21,tblObs[EPA_ID],L3),IF(n=0,"",TEXT(a,"0.0")&amp;" (n="&amp;n&amp;")")))</f>
        <v/>
      </c>
      <c r="M21" s="8">
        <f>IF(OR(A21="",M3=""),"",LET(a,AVERAGEIFS(tblObs[Entrustment_Level],tblObs[Learner_ID],A21,tblObs[EPA_ID],M3),n,COUNTIFS(tblObs[Learner_ID],A21,tblObs[EPA_ID],M3),IF(n=0,"",TEXT(a,"0.0")&amp;" (n="&amp;n&amp;")")))</f>
        <v/>
      </c>
    </row>
    <row r="22">
      <c r="A22">
        <f>IFERROR(INDEX(tblLearners[Learner_ID],ROW()-3),"")</f>
        <v/>
      </c>
      <c r="B22" s="8">
        <f>IF(OR(A22="",B3=""),"",LET(a,AVERAGEIFS(tblObs[Entrustment_Level],tblObs[Learner_ID],A22,tblObs[EPA_ID],B3),n,COUNTIFS(tblObs[Learner_ID],A22,tblObs[EPA_ID],B3),IF(n=0,"",TEXT(a,"0.0")&amp;" (n="&amp;n&amp;")")))</f>
        <v/>
      </c>
      <c r="C22" s="8">
        <f>IF(OR(A22="",C3=""),"",LET(a,AVERAGEIFS(tblObs[Entrustment_Level],tblObs[Learner_ID],A22,tblObs[EPA_ID],C3),n,COUNTIFS(tblObs[Learner_ID],A22,tblObs[EPA_ID],C3),IF(n=0,"",TEXT(a,"0.0")&amp;" (n="&amp;n&amp;")")))</f>
        <v/>
      </c>
      <c r="D22" s="8">
        <f>IF(OR(A22="",D3=""),"",LET(a,AVERAGEIFS(tblObs[Entrustment_Level],tblObs[Learner_ID],A22,tblObs[EPA_ID],D3),n,COUNTIFS(tblObs[Learner_ID],A22,tblObs[EPA_ID],D3),IF(n=0,"",TEXT(a,"0.0")&amp;" (n="&amp;n&amp;")")))</f>
        <v/>
      </c>
      <c r="E22" s="8">
        <f>IF(OR(A22="",E3=""),"",LET(a,AVERAGEIFS(tblObs[Entrustment_Level],tblObs[Learner_ID],A22,tblObs[EPA_ID],E3),n,COUNTIFS(tblObs[Learner_ID],A22,tblObs[EPA_ID],E3),IF(n=0,"",TEXT(a,"0.0")&amp;" (n="&amp;n&amp;")")))</f>
        <v/>
      </c>
      <c r="F22" s="8">
        <f>IF(OR(A22="",F3=""),"",LET(a,AVERAGEIFS(tblObs[Entrustment_Level],tblObs[Learner_ID],A22,tblObs[EPA_ID],F3),n,COUNTIFS(tblObs[Learner_ID],A22,tblObs[EPA_ID],F3),IF(n=0,"",TEXT(a,"0.0")&amp;" (n="&amp;n&amp;")")))</f>
        <v/>
      </c>
      <c r="G22" s="8">
        <f>IF(OR(A22="",G3=""),"",LET(a,AVERAGEIFS(tblObs[Entrustment_Level],tblObs[Learner_ID],A22,tblObs[EPA_ID],G3),n,COUNTIFS(tblObs[Learner_ID],A22,tblObs[EPA_ID],G3),IF(n=0,"",TEXT(a,"0.0")&amp;" (n="&amp;n&amp;")")))</f>
        <v/>
      </c>
      <c r="H22" s="8">
        <f>IF(OR(A22="",H3=""),"",LET(a,AVERAGEIFS(tblObs[Entrustment_Level],tblObs[Learner_ID],A22,tblObs[EPA_ID],H3),n,COUNTIFS(tblObs[Learner_ID],A22,tblObs[EPA_ID],H3),IF(n=0,"",TEXT(a,"0.0")&amp;" (n="&amp;n&amp;")")))</f>
        <v/>
      </c>
      <c r="I22" s="8">
        <f>IF(OR(A22="",I3=""),"",LET(a,AVERAGEIFS(tblObs[Entrustment_Level],tblObs[Learner_ID],A22,tblObs[EPA_ID],I3),n,COUNTIFS(tblObs[Learner_ID],A22,tblObs[EPA_ID],I3),IF(n=0,"",TEXT(a,"0.0")&amp;" (n="&amp;n&amp;")")))</f>
        <v/>
      </c>
      <c r="J22" s="8">
        <f>IF(OR(A22="",J3=""),"",LET(a,AVERAGEIFS(tblObs[Entrustment_Level],tblObs[Learner_ID],A22,tblObs[EPA_ID],J3),n,COUNTIFS(tblObs[Learner_ID],A22,tblObs[EPA_ID],J3),IF(n=0,"",TEXT(a,"0.0")&amp;" (n="&amp;n&amp;")")))</f>
        <v/>
      </c>
      <c r="K22" s="8">
        <f>IF(OR(A22="",K3=""),"",LET(a,AVERAGEIFS(tblObs[Entrustment_Level],tblObs[Learner_ID],A22,tblObs[EPA_ID],K3),n,COUNTIFS(tblObs[Learner_ID],A22,tblObs[EPA_ID],K3),IF(n=0,"",TEXT(a,"0.0")&amp;" (n="&amp;n&amp;")")))</f>
        <v/>
      </c>
      <c r="L22" s="8">
        <f>IF(OR(A22="",L3=""),"",LET(a,AVERAGEIFS(tblObs[Entrustment_Level],tblObs[Learner_ID],A22,tblObs[EPA_ID],L3),n,COUNTIFS(tblObs[Learner_ID],A22,tblObs[EPA_ID],L3),IF(n=0,"",TEXT(a,"0.0")&amp;" (n="&amp;n&amp;")")))</f>
        <v/>
      </c>
      <c r="M22" s="8">
        <f>IF(OR(A22="",M3=""),"",LET(a,AVERAGEIFS(tblObs[Entrustment_Level],tblObs[Learner_ID],A22,tblObs[EPA_ID],M3),n,COUNTIFS(tblObs[Learner_ID],A22,tblObs[EPA_ID],M3),IF(n=0,"",TEXT(a,"0.0")&amp;" (n="&amp;n&amp;")")))</f>
        <v/>
      </c>
    </row>
    <row r="23">
      <c r="A23">
        <f>IFERROR(INDEX(tblLearners[Learner_ID],ROW()-3),"")</f>
        <v/>
      </c>
      <c r="B23" s="8">
        <f>IF(OR(A23="",B3=""),"",LET(a,AVERAGEIFS(tblObs[Entrustment_Level],tblObs[Learner_ID],A23,tblObs[EPA_ID],B3),n,COUNTIFS(tblObs[Learner_ID],A23,tblObs[EPA_ID],B3),IF(n=0,"",TEXT(a,"0.0")&amp;" (n="&amp;n&amp;")")))</f>
        <v/>
      </c>
      <c r="C23" s="8">
        <f>IF(OR(A23="",C3=""),"",LET(a,AVERAGEIFS(tblObs[Entrustment_Level],tblObs[Learner_ID],A23,tblObs[EPA_ID],C3),n,COUNTIFS(tblObs[Learner_ID],A23,tblObs[EPA_ID],C3),IF(n=0,"",TEXT(a,"0.0")&amp;" (n="&amp;n&amp;")")))</f>
        <v/>
      </c>
      <c r="D23" s="8">
        <f>IF(OR(A23="",D3=""),"",LET(a,AVERAGEIFS(tblObs[Entrustment_Level],tblObs[Learner_ID],A23,tblObs[EPA_ID],D3),n,COUNTIFS(tblObs[Learner_ID],A23,tblObs[EPA_ID],D3),IF(n=0,"",TEXT(a,"0.0")&amp;" (n="&amp;n&amp;")")))</f>
        <v/>
      </c>
      <c r="E23" s="8">
        <f>IF(OR(A23="",E3=""),"",LET(a,AVERAGEIFS(tblObs[Entrustment_Level],tblObs[Learner_ID],A23,tblObs[EPA_ID],E3),n,COUNTIFS(tblObs[Learner_ID],A23,tblObs[EPA_ID],E3),IF(n=0,"",TEXT(a,"0.0")&amp;" (n="&amp;n&amp;")")))</f>
        <v/>
      </c>
      <c r="F23" s="8">
        <f>IF(OR(A23="",F3=""),"",LET(a,AVERAGEIFS(tblObs[Entrustment_Level],tblObs[Learner_ID],A23,tblObs[EPA_ID],F3),n,COUNTIFS(tblObs[Learner_ID],A23,tblObs[EPA_ID],F3),IF(n=0,"",TEXT(a,"0.0")&amp;" (n="&amp;n&amp;")")))</f>
        <v/>
      </c>
      <c r="G23" s="8">
        <f>IF(OR(A23="",G3=""),"",LET(a,AVERAGEIFS(tblObs[Entrustment_Level],tblObs[Learner_ID],A23,tblObs[EPA_ID],G3),n,COUNTIFS(tblObs[Learner_ID],A23,tblObs[EPA_ID],G3),IF(n=0,"",TEXT(a,"0.0")&amp;" (n="&amp;n&amp;")")))</f>
        <v/>
      </c>
      <c r="H23" s="8">
        <f>IF(OR(A23="",H3=""),"",LET(a,AVERAGEIFS(tblObs[Entrustment_Level],tblObs[Learner_ID],A23,tblObs[EPA_ID],H3),n,COUNTIFS(tblObs[Learner_ID],A23,tblObs[EPA_ID],H3),IF(n=0,"",TEXT(a,"0.0")&amp;" (n="&amp;n&amp;")")))</f>
        <v/>
      </c>
      <c r="I23" s="8">
        <f>IF(OR(A23="",I3=""),"",LET(a,AVERAGEIFS(tblObs[Entrustment_Level],tblObs[Learner_ID],A23,tblObs[EPA_ID],I3),n,COUNTIFS(tblObs[Learner_ID],A23,tblObs[EPA_ID],I3),IF(n=0,"",TEXT(a,"0.0")&amp;" (n="&amp;n&amp;")")))</f>
        <v/>
      </c>
      <c r="J23" s="8">
        <f>IF(OR(A23="",J3=""),"",LET(a,AVERAGEIFS(tblObs[Entrustment_Level],tblObs[Learner_ID],A23,tblObs[EPA_ID],J3),n,COUNTIFS(tblObs[Learner_ID],A23,tblObs[EPA_ID],J3),IF(n=0,"",TEXT(a,"0.0")&amp;" (n="&amp;n&amp;")")))</f>
        <v/>
      </c>
      <c r="K23" s="8">
        <f>IF(OR(A23="",K3=""),"",LET(a,AVERAGEIFS(tblObs[Entrustment_Level],tblObs[Learner_ID],A23,tblObs[EPA_ID],K3),n,COUNTIFS(tblObs[Learner_ID],A23,tblObs[EPA_ID],K3),IF(n=0,"",TEXT(a,"0.0")&amp;" (n="&amp;n&amp;")")))</f>
        <v/>
      </c>
      <c r="L23" s="8">
        <f>IF(OR(A23="",L3=""),"",LET(a,AVERAGEIFS(tblObs[Entrustment_Level],tblObs[Learner_ID],A23,tblObs[EPA_ID],L3),n,COUNTIFS(tblObs[Learner_ID],A23,tblObs[EPA_ID],L3),IF(n=0,"",TEXT(a,"0.0")&amp;" (n="&amp;n&amp;")")))</f>
        <v/>
      </c>
      <c r="M23" s="8">
        <f>IF(OR(A23="",M3=""),"",LET(a,AVERAGEIFS(tblObs[Entrustment_Level],tblObs[Learner_ID],A23,tblObs[EPA_ID],M3),n,COUNTIFS(tblObs[Learner_ID],A23,tblObs[EPA_ID],M3),IF(n=0,"",TEXT(a,"0.0")&amp;" (n="&amp;n&amp;")")))</f>
        <v/>
      </c>
    </row>
    <row r="24">
      <c r="A24">
        <f>IFERROR(INDEX(tblLearners[Learner_ID],ROW()-3),"")</f>
        <v/>
      </c>
      <c r="B24" s="8">
        <f>IF(OR(A24="",B3=""),"",LET(a,AVERAGEIFS(tblObs[Entrustment_Level],tblObs[Learner_ID],A24,tblObs[EPA_ID],B3),n,COUNTIFS(tblObs[Learner_ID],A24,tblObs[EPA_ID],B3),IF(n=0,"",TEXT(a,"0.0")&amp;" (n="&amp;n&amp;")")))</f>
        <v/>
      </c>
      <c r="C24" s="8">
        <f>IF(OR(A24="",C3=""),"",LET(a,AVERAGEIFS(tblObs[Entrustment_Level],tblObs[Learner_ID],A24,tblObs[EPA_ID],C3),n,COUNTIFS(tblObs[Learner_ID],A24,tblObs[EPA_ID],C3),IF(n=0,"",TEXT(a,"0.0")&amp;" (n="&amp;n&amp;")")))</f>
        <v/>
      </c>
      <c r="D24" s="8">
        <f>IF(OR(A24="",D3=""),"",LET(a,AVERAGEIFS(tblObs[Entrustment_Level],tblObs[Learner_ID],A24,tblObs[EPA_ID],D3),n,COUNTIFS(tblObs[Learner_ID],A24,tblObs[EPA_ID],D3),IF(n=0,"",TEXT(a,"0.0")&amp;" (n="&amp;n&amp;")")))</f>
        <v/>
      </c>
      <c r="E24" s="8">
        <f>IF(OR(A24="",E3=""),"",LET(a,AVERAGEIFS(tblObs[Entrustment_Level],tblObs[Learner_ID],A24,tblObs[EPA_ID],E3),n,COUNTIFS(tblObs[Learner_ID],A24,tblObs[EPA_ID],E3),IF(n=0,"",TEXT(a,"0.0")&amp;" (n="&amp;n&amp;")")))</f>
        <v/>
      </c>
      <c r="F24" s="8">
        <f>IF(OR(A24="",F3=""),"",LET(a,AVERAGEIFS(tblObs[Entrustment_Level],tblObs[Learner_ID],A24,tblObs[EPA_ID],F3),n,COUNTIFS(tblObs[Learner_ID],A24,tblObs[EPA_ID],F3),IF(n=0,"",TEXT(a,"0.0")&amp;" (n="&amp;n&amp;")")))</f>
        <v/>
      </c>
      <c r="G24" s="8">
        <f>IF(OR(A24="",G3=""),"",LET(a,AVERAGEIFS(tblObs[Entrustment_Level],tblObs[Learner_ID],A24,tblObs[EPA_ID],G3),n,COUNTIFS(tblObs[Learner_ID],A24,tblObs[EPA_ID],G3),IF(n=0,"",TEXT(a,"0.0")&amp;" (n="&amp;n&amp;")")))</f>
        <v/>
      </c>
      <c r="H24" s="8">
        <f>IF(OR(A24="",H3=""),"",LET(a,AVERAGEIFS(tblObs[Entrustment_Level],tblObs[Learner_ID],A24,tblObs[EPA_ID],H3),n,COUNTIFS(tblObs[Learner_ID],A24,tblObs[EPA_ID],H3),IF(n=0,"",TEXT(a,"0.0")&amp;" (n="&amp;n&amp;")")))</f>
        <v/>
      </c>
      <c r="I24" s="8">
        <f>IF(OR(A24="",I3=""),"",LET(a,AVERAGEIFS(tblObs[Entrustment_Level],tblObs[Learner_ID],A24,tblObs[EPA_ID],I3),n,COUNTIFS(tblObs[Learner_ID],A24,tblObs[EPA_ID],I3),IF(n=0,"",TEXT(a,"0.0")&amp;" (n="&amp;n&amp;")")))</f>
        <v/>
      </c>
      <c r="J24" s="8">
        <f>IF(OR(A24="",J3=""),"",LET(a,AVERAGEIFS(tblObs[Entrustment_Level],tblObs[Learner_ID],A24,tblObs[EPA_ID],J3),n,COUNTIFS(tblObs[Learner_ID],A24,tblObs[EPA_ID],J3),IF(n=0,"",TEXT(a,"0.0")&amp;" (n="&amp;n&amp;")")))</f>
        <v/>
      </c>
      <c r="K24" s="8">
        <f>IF(OR(A24="",K3=""),"",LET(a,AVERAGEIFS(tblObs[Entrustment_Level],tblObs[Learner_ID],A24,tblObs[EPA_ID],K3),n,COUNTIFS(tblObs[Learner_ID],A24,tblObs[EPA_ID],K3),IF(n=0,"",TEXT(a,"0.0")&amp;" (n="&amp;n&amp;")")))</f>
        <v/>
      </c>
      <c r="L24" s="8">
        <f>IF(OR(A24="",L3=""),"",LET(a,AVERAGEIFS(tblObs[Entrustment_Level],tblObs[Learner_ID],A24,tblObs[EPA_ID],L3),n,COUNTIFS(tblObs[Learner_ID],A24,tblObs[EPA_ID],L3),IF(n=0,"",TEXT(a,"0.0")&amp;" (n="&amp;n&amp;")")))</f>
        <v/>
      </c>
      <c r="M24" s="8">
        <f>IF(OR(A24="",M3=""),"",LET(a,AVERAGEIFS(tblObs[Entrustment_Level],tblObs[Learner_ID],A24,tblObs[EPA_ID],M3),n,COUNTIFS(tblObs[Learner_ID],A24,tblObs[EPA_ID],M3),IF(n=0,"",TEXT(a,"0.0")&amp;" (n="&amp;n&amp;")")))</f>
        <v/>
      </c>
    </row>
    <row r="25">
      <c r="A25">
        <f>IFERROR(INDEX(tblLearners[Learner_ID],ROW()-3),"")</f>
        <v/>
      </c>
      <c r="B25" s="8">
        <f>IF(OR(A25="",B3=""),"",LET(a,AVERAGEIFS(tblObs[Entrustment_Level],tblObs[Learner_ID],A25,tblObs[EPA_ID],B3),n,COUNTIFS(tblObs[Learner_ID],A25,tblObs[EPA_ID],B3),IF(n=0,"",TEXT(a,"0.0")&amp;" (n="&amp;n&amp;")")))</f>
        <v/>
      </c>
      <c r="C25" s="8">
        <f>IF(OR(A25="",C3=""),"",LET(a,AVERAGEIFS(tblObs[Entrustment_Level],tblObs[Learner_ID],A25,tblObs[EPA_ID],C3),n,COUNTIFS(tblObs[Learner_ID],A25,tblObs[EPA_ID],C3),IF(n=0,"",TEXT(a,"0.0")&amp;" (n="&amp;n&amp;")")))</f>
        <v/>
      </c>
      <c r="D25" s="8">
        <f>IF(OR(A25="",D3=""),"",LET(a,AVERAGEIFS(tblObs[Entrustment_Level],tblObs[Learner_ID],A25,tblObs[EPA_ID],D3),n,COUNTIFS(tblObs[Learner_ID],A25,tblObs[EPA_ID],D3),IF(n=0,"",TEXT(a,"0.0")&amp;" (n="&amp;n&amp;")")))</f>
        <v/>
      </c>
      <c r="E25" s="8">
        <f>IF(OR(A25="",E3=""),"",LET(a,AVERAGEIFS(tblObs[Entrustment_Level],tblObs[Learner_ID],A25,tblObs[EPA_ID],E3),n,COUNTIFS(tblObs[Learner_ID],A25,tblObs[EPA_ID],E3),IF(n=0,"",TEXT(a,"0.0")&amp;" (n="&amp;n&amp;")")))</f>
        <v/>
      </c>
      <c r="F25" s="8">
        <f>IF(OR(A25="",F3=""),"",LET(a,AVERAGEIFS(tblObs[Entrustment_Level],tblObs[Learner_ID],A25,tblObs[EPA_ID],F3),n,COUNTIFS(tblObs[Learner_ID],A25,tblObs[EPA_ID],F3),IF(n=0,"",TEXT(a,"0.0")&amp;" (n="&amp;n&amp;")")))</f>
        <v/>
      </c>
      <c r="G25" s="8">
        <f>IF(OR(A25="",G3=""),"",LET(a,AVERAGEIFS(tblObs[Entrustment_Level],tblObs[Learner_ID],A25,tblObs[EPA_ID],G3),n,COUNTIFS(tblObs[Learner_ID],A25,tblObs[EPA_ID],G3),IF(n=0,"",TEXT(a,"0.0")&amp;" (n="&amp;n&amp;")")))</f>
        <v/>
      </c>
      <c r="H25" s="8">
        <f>IF(OR(A25="",H3=""),"",LET(a,AVERAGEIFS(tblObs[Entrustment_Level],tblObs[Learner_ID],A25,tblObs[EPA_ID],H3),n,COUNTIFS(tblObs[Learner_ID],A25,tblObs[EPA_ID],H3),IF(n=0,"",TEXT(a,"0.0")&amp;" (n="&amp;n&amp;")")))</f>
        <v/>
      </c>
      <c r="I25" s="8">
        <f>IF(OR(A25="",I3=""),"",LET(a,AVERAGEIFS(tblObs[Entrustment_Level],tblObs[Learner_ID],A25,tblObs[EPA_ID],I3),n,COUNTIFS(tblObs[Learner_ID],A25,tblObs[EPA_ID],I3),IF(n=0,"",TEXT(a,"0.0")&amp;" (n="&amp;n&amp;")")))</f>
        <v/>
      </c>
      <c r="J25" s="8">
        <f>IF(OR(A25="",J3=""),"",LET(a,AVERAGEIFS(tblObs[Entrustment_Level],tblObs[Learner_ID],A25,tblObs[EPA_ID],J3),n,COUNTIFS(tblObs[Learner_ID],A25,tblObs[EPA_ID],J3),IF(n=0,"",TEXT(a,"0.0")&amp;" (n="&amp;n&amp;")")))</f>
        <v/>
      </c>
      <c r="K25" s="8">
        <f>IF(OR(A25="",K3=""),"",LET(a,AVERAGEIFS(tblObs[Entrustment_Level],tblObs[Learner_ID],A25,tblObs[EPA_ID],K3),n,COUNTIFS(tblObs[Learner_ID],A25,tblObs[EPA_ID],K3),IF(n=0,"",TEXT(a,"0.0")&amp;" (n="&amp;n&amp;")")))</f>
        <v/>
      </c>
      <c r="L25" s="8">
        <f>IF(OR(A25="",L3=""),"",LET(a,AVERAGEIFS(tblObs[Entrustment_Level],tblObs[Learner_ID],A25,tblObs[EPA_ID],L3),n,COUNTIFS(tblObs[Learner_ID],A25,tblObs[EPA_ID],L3),IF(n=0,"",TEXT(a,"0.0")&amp;" (n="&amp;n&amp;")")))</f>
        <v/>
      </c>
      <c r="M25" s="8">
        <f>IF(OR(A25="",M3=""),"",LET(a,AVERAGEIFS(tblObs[Entrustment_Level],tblObs[Learner_ID],A25,tblObs[EPA_ID],M3),n,COUNTIFS(tblObs[Learner_ID],A25,tblObs[EPA_ID],M3),IF(n=0,"",TEXT(a,"0.0")&amp;" (n="&amp;n&amp;")")))</f>
        <v/>
      </c>
    </row>
    <row r="26">
      <c r="A26">
        <f>IFERROR(INDEX(tblLearners[Learner_ID],ROW()-3),"")</f>
        <v/>
      </c>
      <c r="B26" s="8">
        <f>IF(OR(A26="",B3=""),"",LET(a,AVERAGEIFS(tblObs[Entrustment_Level],tblObs[Learner_ID],A26,tblObs[EPA_ID],B3),n,COUNTIFS(tblObs[Learner_ID],A26,tblObs[EPA_ID],B3),IF(n=0,"",TEXT(a,"0.0")&amp;" (n="&amp;n&amp;")")))</f>
        <v/>
      </c>
      <c r="C26" s="8">
        <f>IF(OR(A26="",C3=""),"",LET(a,AVERAGEIFS(tblObs[Entrustment_Level],tblObs[Learner_ID],A26,tblObs[EPA_ID],C3),n,COUNTIFS(tblObs[Learner_ID],A26,tblObs[EPA_ID],C3),IF(n=0,"",TEXT(a,"0.0")&amp;" (n="&amp;n&amp;")")))</f>
        <v/>
      </c>
      <c r="D26" s="8">
        <f>IF(OR(A26="",D3=""),"",LET(a,AVERAGEIFS(tblObs[Entrustment_Level],tblObs[Learner_ID],A26,tblObs[EPA_ID],D3),n,COUNTIFS(tblObs[Learner_ID],A26,tblObs[EPA_ID],D3),IF(n=0,"",TEXT(a,"0.0")&amp;" (n="&amp;n&amp;")")))</f>
        <v/>
      </c>
      <c r="E26" s="8">
        <f>IF(OR(A26="",E3=""),"",LET(a,AVERAGEIFS(tblObs[Entrustment_Level],tblObs[Learner_ID],A26,tblObs[EPA_ID],E3),n,COUNTIFS(tblObs[Learner_ID],A26,tblObs[EPA_ID],E3),IF(n=0,"",TEXT(a,"0.0")&amp;" (n="&amp;n&amp;")")))</f>
        <v/>
      </c>
      <c r="F26" s="8">
        <f>IF(OR(A26="",F3=""),"",LET(a,AVERAGEIFS(tblObs[Entrustment_Level],tblObs[Learner_ID],A26,tblObs[EPA_ID],F3),n,COUNTIFS(tblObs[Learner_ID],A26,tblObs[EPA_ID],F3),IF(n=0,"",TEXT(a,"0.0")&amp;" (n="&amp;n&amp;")")))</f>
        <v/>
      </c>
      <c r="G26" s="8">
        <f>IF(OR(A26="",G3=""),"",LET(a,AVERAGEIFS(tblObs[Entrustment_Level],tblObs[Learner_ID],A26,tblObs[EPA_ID],G3),n,COUNTIFS(tblObs[Learner_ID],A26,tblObs[EPA_ID],G3),IF(n=0,"",TEXT(a,"0.0")&amp;" (n="&amp;n&amp;")")))</f>
        <v/>
      </c>
      <c r="H26" s="8">
        <f>IF(OR(A26="",H3=""),"",LET(a,AVERAGEIFS(tblObs[Entrustment_Level],tblObs[Learner_ID],A26,tblObs[EPA_ID],H3),n,COUNTIFS(tblObs[Learner_ID],A26,tblObs[EPA_ID],H3),IF(n=0,"",TEXT(a,"0.0")&amp;" (n="&amp;n&amp;")")))</f>
        <v/>
      </c>
      <c r="I26" s="8">
        <f>IF(OR(A26="",I3=""),"",LET(a,AVERAGEIFS(tblObs[Entrustment_Level],tblObs[Learner_ID],A26,tblObs[EPA_ID],I3),n,COUNTIFS(tblObs[Learner_ID],A26,tblObs[EPA_ID],I3),IF(n=0,"",TEXT(a,"0.0")&amp;" (n="&amp;n&amp;")")))</f>
        <v/>
      </c>
      <c r="J26" s="8">
        <f>IF(OR(A26="",J3=""),"",LET(a,AVERAGEIFS(tblObs[Entrustment_Level],tblObs[Learner_ID],A26,tblObs[EPA_ID],J3),n,COUNTIFS(tblObs[Learner_ID],A26,tblObs[EPA_ID],J3),IF(n=0,"",TEXT(a,"0.0")&amp;" (n="&amp;n&amp;")")))</f>
        <v/>
      </c>
      <c r="K26" s="8">
        <f>IF(OR(A26="",K3=""),"",LET(a,AVERAGEIFS(tblObs[Entrustment_Level],tblObs[Learner_ID],A26,tblObs[EPA_ID],K3),n,COUNTIFS(tblObs[Learner_ID],A26,tblObs[EPA_ID],K3),IF(n=0,"",TEXT(a,"0.0")&amp;" (n="&amp;n&amp;")")))</f>
        <v/>
      </c>
      <c r="L26" s="8">
        <f>IF(OR(A26="",L3=""),"",LET(a,AVERAGEIFS(tblObs[Entrustment_Level],tblObs[Learner_ID],A26,tblObs[EPA_ID],L3),n,COUNTIFS(tblObs[Learner_ID],A26,tblObs[EPA_ID],L3),IF(n=0,"",TEXT(a,"0.0")&amp;" (n="&amp;n&amp;")")))</f>
        <v/>
      </c>
      <c r="M26" s="8">
        <f>IF(OR(A26="",M3=""),"",LET(a,AVERAGEIFS(tblObs[Entrustment_Level],tblObs[Learner_ID],A26,tblObs[EPA_ID],M3),n,COUNTIFS(tblObs[Learner_ID],A26,tblObs[EPA_ID],M3),IF(n=0,"",TEXT(a,"0.0")&amp;" (n="&amp;n&amp;")")))</f>
        <v/>
      </c>
    </row>
    <row r="27">
      <c r="A27">
        <f>IFERROR(INDEX(tblLearners[Learner_ID],ROW()-3),"")</f>
        <v/>
      </c>
      <c r="B27" s="8">
        <f>IF(OR(A27="",B3=""),"",LET(a,AVERAGEIFS(tblObs[Entrustment_Level],tblObs[Learner_ID],A27,tblObs[EPA_ID],B3),n,COUNTIFS(tblObs[Learner_ID],A27,tblObs[EPA_ID],B3),IF(n=0,"",TEXT(a,"0.0")&amp;" (n="&amp;n&amp;")")))</f>
        <v/>
      </c>
      <c r="C27" s="8">
        <f>IF(OR(A27="",C3=""),"",LET(a,AVERAGEIFS(tblObs[Entrustment_Level],tblObs[Learner_ID],A27,tblObs[EPA_ID],C3),n,COUNTIFS(tblObs[Learner_ID],A27,tblObs[EPA_ID],C3),IF(n=0,"",TEXT(a,"0.0")&amp;" (n="&amp;n&amp;")")))</f>
        <v/>
      </c>
      <c r="D27" s="8">
        <f>IF(OR(A27="",D3=""),"",LET(a,AVERAGEIFS(tblObs[Entrustment_Level],tblObs[Learner_ID],A27,tblObs[EPA_ID],D3),n,COUNTIFS(tblObs[Learner_ID],A27,tblObs[EPA_ID],D3),IF(n=0,"",TEXT(a,"0.0")&amp;" (n="&amp;n&amp;")")))</f>
        <v/>
      </c>
      <c r="E27" s="8">
        <f>IF(OR(A27="",E3=""),"",LET(a,AVERAGEIFS(tblObs[Entrustment_Level],tblObs[Learner_ID],A27,tblObs[EPA_ID],E3),n,COUNTIFS(tblObs[Learner_ID],A27,tblObs[EPA_ID],E3),IF(n=0,"",TEXT(a,"0.0")&amp;" (n="&amp;n&amp;")")))</f>
        <v/>
      </c>
      <c r="F27" s="8">
        <f>IF(OR(A27="",F3=""),"",LET(a,AVERAGEIFS(tblObs[Entrustment_Level],tblObs[Learner_ID],A27,tblObs[EPA_ID],F3),n,COUNTIFS(tblObs[Learner_ID],A27,tblObs[EPA_ID],F3),IF(n=0,"",TEXT(a,"0.0")&amp;" (n="&amp;n&amp;")")))</f>
        <v/>
      </c>
      <c r="G27" s="8">
        <f>IF(OR(A27="",G3=""),"",LET(a,AVERAGEIFS(tblObs[Entrustment_Level],tblObs[Learner_ID],A27,tblObs[EPA_ID],G3),n,COUNTIFS(tblObs[Learner_ID],A27,tblObs[EPA_ID],G3),IF(n=0,"",TEXT(a,"0.0")&amp;" (n="&amp;n&amp;")")))</f>
        <v/>
      </c>
      <c r="H27" s="8">
        <f>IF(OR(A27="",H3=""),"",LET(a,AVERAGEIFS(tblObs[Entrustment_Level],tblObs[Learner_ID],A27,tblObs[EPA_ID],H3),n,COUNTIFS(tblObs[Learner_ID],A27,tblObs[EPA_ID],H3),IF(n=0,"",TEXT(a,"0.0")&amp;" (n="&amp;n&amp;")")))</f>
        <v/>
      </c>
      <c r="I27" s="8">
        <f>IF(OR(A27="",I3=""),"",LET(a,AVERAGEIFS(tblObs[Entrustment_Level],tblObs[Learner_ID],A27,tblObs[EPA_ID],I3),n,COUNTIFS(tblObs[Learner_ID],A27,tblObs[EPA_ID],I3),IF(n=0,"",TEXT(a,"0.0")&amp;" (n="&amp;n&amp;")")))</f>
        <v/>
      </c>
      <c r="J27" s="8">
        <f>IF(OR(A27="",J3=""),"",LET(a,AVERAGEIFS(tblObs[Entrustment_Level],tblObs[Learner_ID],A27,tblObs[EPA_ID],J3),n,COUNTIFS(tblObs[Learner_ID],A27,tblObs[EPA_ID],J3),IF(n=0,"",TEXT(a,"0.0")&amp;" (n="&amp;n&amp;")")))</f>
        <v/>
      </c>
      <c r="K27" s="8">
        <f>IF(OR(A27="",K3=""),"",LET(a,AVERAGEIFS(tblObs[Entrustment_Level],tblObs[Learner_ID],A27,tblObs[EPA_ID],K3),n,COUNTIFS(tblObs[Learner_ID],A27,tblObs[EPA_ID],K3),IF(n=0,"",TEXT(a,"0.0")&amp;" (n="&amp;n&amp;")")))</f>
        <v/>
      </c>
      <c r="L27" s="8">
        <f>IF(OR(A27="",L3=""),"",LET(a,AVERAGEIFS(tblObs[Entrustment_Level],tblObs[Learner_ID],A27,tblObs[EPA_ID],L3),n,COUNTIFS(tblObs[Learner_ID],A27,tblObs[EPA_ID],L3),IF(n=0,"",TEXT(a,"0.0")&amp;" (n="&amp;n&amp;")")))</f>
        <v/>
      </c>
      <c r="M27" s="8">
        <f>IF(OR(A27="",M3=""),"",LET(a,AVERAGEIFS(tblObs[Entrustment_Level],tblObs[Learner_ID],A27,tblObs[EPA_ID],M3),n,COUNTIFS(tblObs[Learner_ID],A27,tblObs[EPA_ID],M3),IF(n=0,"",TEXT(a,"0.0")&amp;" (n="&amp;n&amp;")")))</f>
        <v/>
      </c>
    </row>
    <row r="28">
      <c r="A28">
        <f>IFERROR(INDEX(tblLearners[Learner_ID],ROW()-3),"")</f>
        <v/>
      </c>
      <c r="B28" s="8">
        <f>IF(OR(A28="",B3=""),"",LET(a,AVERAGEIFS(tblObs[Entrustment_Level],tblObs[Learner_ID],A28,tblObs[EPA_ID],B3),n,COUNTIFS(tblObs[Learner_ID],A28,tblObs[EPA_ID],B3),IF(n=0,"",TEXT(a,"0.0")&amp;" (n="&amp;n&amp;")")))</f>
        <v/>
      </c>
      <c r="C28" s="8">
        <f>IF(OR(A28="",C3=""),"",LET(a,AVERAGEIFS(tblObs[Entrustment_Level],tblObs[Learner_ID],A28,tblObs[EPA_ID],C3),n,COUNTIFS(tblObs[Learner_ID],A28,tblObs[EPA_ID],C3),IF(n=0,"",TEXT(a,"0.0")&amp;" (n="&amp;n&amp;")")))</f>
        <v/>
      </c>
      <c r="D28" s="8">
        <f>IF(OR(A28="",D3=""),"",LET(a,AVERAGEIFS(tblObs[Entrustment_Level],tblObs[Learner_ID],A28,tblObs[EPA_ID],D3),n,COUNTIFS(tblObs[Learner_ID],A28,tblObs[EPA_ID],D3),IF(n=0,"",TEXT(a,"0.0")&amp;" (n="&amp;n&amp;")")))</f>
        <v/>
      </c>
      <c r="E28" s="8">
        <f>IF(OR(A28="",E3=""),"",LET(a,AVERAGEIFS(tblObs[Entrustment_Level],tblObs[Learner_ID],A28,tblObs[EPA_ID],E3),n,COUNTIFS(tblObs[Learner_ID],A28,tblObs[EPA_ID],E3),IF(n=0,"",TEXT(a,"0.0")&amp;" (n="&amp;n&amp;")")))</f>
        <v/>
      </c>
      <c r="F28" s="8">
        <f>IF(OR(A28="",F3=""),"",LET(a,AVERAGEIFS(tblObs[Entrustment_Level],tblObs[Learner_ID],A28,tblObs[EPA_ID],F3),n,COUNTIFS(tblObs[Learner_ID],A28,tblObs[EPA_ID],F3),IF(n=0,"",TEXT(a,"0.0")&amp;" (n="&amp;n&amp;")")))</f>
        <v/>
      </c>
      <c r="G28" s="8">
        <f>IF(OR(A28="",G3=""),"",LET(a,AVERAGEIFS(tblObs[Entrustment_Level],tblObs[Learner_ID],A28,tblObs[EPA_ID],G3),n,COUNTIFS(tblObs[Learner_ID],A28,tblObs[EPA_ID],G3),IF(n=0,"",TEXT(a,"0.0")&amp;" (n="&amp;n&amp;")")))</f>
        <v/>
      </c>
      <c r="H28" s="8">
        <f>IF(OR(A28="",H3=""),"",LET(a,AVERAGEIFS(tblObs[Entrustment_Level],tblObs[Learner_ID],A28,tblObs[EPA_ID],H3),n,COUNTIFS(tblObs[Learner_ID],A28,tblObs[EPA_ID],H3),IF(n=0,"",TEXT(a,"0.0")&amp;" (n="&amp;n&amp;")")))</f>
        <v/>
      </c>
      <c r="I28" s="8">
        <f>IF(OR(A28="",I3=""),"",LET(a,AVERAGEIFS(tblObs[Entrustment_Level],tblObs[Learner_ID],A28,tblObs[EPA_ID],I3),n,COUNTIFS(tblObs[Learner_ID],A28,tblObs[EPA_ID],I3),IF(n=0,"",TEXT(a,"0.0")&amp;" (n="&amp;n&amp;")")))</f>
        <v/>
      </c>
      <c r="J28" s="8">
        <f>IF(OR(A28="",J3=""),"",LET(a,AVERAGEIFS(tblObs[Entrustment_Level],tblObs[Learner_ID],A28,tblObs[EPA_ID],J3),n,COUNTIFS(tblObs[Learner_ID],A28,tblObs[EPA_ID],J3),IF(n=0,"",TEXT(a,"0.0")&amp;" (n="&amp;n&amp;")")))</f>
        <v/>
      </c>
      <c r="K28" s="8">
        <f>IF(OR(A28="",K3=""),"",LET(a,AVERAGEIFS(tblObs[Entrustment_Level],tblObs[Learner_ID],A28,tblObs[EPA_ID],K3),n,COUNTIFS(tblObs[Learner_ID],A28,tblObs[EPA_ID],K3),IF(n=0,"",TEXT(a,"0.0")&amp;" (n="&amp;n&amp;")")))</f>
        <v/>
      </c>
      <c r="L28" s="8">
        <f>IF(OR(A28="",L3=""),"",LET(a,AVERAGEIFS(tblObs[Entrustment_Level],tblObs[Learner_ID],A28,tblObs[EPA_ID],L3),n,COUNTIFS(tblObs[Learner_ID],A28,tblObs[EPA_ID],L3),IF(n=0,"",TEXT(a,"0.0")&amp;" (n="&amp;n&amp;")")))</f>
        <v/>
      </c>
      <c r="M28" s="8">
        <f>IF(OR(A28="",M3=""),"",LET(a,AVERAGEIFS(tblObs[Entrustment_Level],tblObs[Learner_ID],A28,tblObs[EPA_ID],M3),n,COUNTIFS(tblObs[Learner_ID],A28,tblObs[EPA_ID],M3),IF(n=0,"",TEXT(a,"0.0")&amp;" (n="&amp;n&amp;")")))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0" customWidth="1" min="4" max="4"/>
    <col width="18" customWidth="1" min="5" max="5"/>
  </cols>
  <sheetData>
    <row r="1">
      <c r="A1" s="7" t="inlineStr">
        <is>
          <t>Quality &amp; Fairness (Program-level KPIs)</t>
        </is>
      </c>
    </row>
    <row r="3">
      <c r="A3" s="5" t="inlineStr">
        <is>
          <t>KPI</t>
        </is>
      </c>
      <c r="B3" s="5" t="inlineStr">
        <is>
          <t>Value</t>
        </is>
      </c>
    </row>
    <row r="4">
      <c r="A4" t="inlineStr">
        <is>
          <t>Total observations</t>
        </is>
      </c>
      <c r="B4" s="9">
        <f>ROWS(tblObs[Learner_ID])</f>
        <v/>
      </c>
    </row>
    <row r="5">
      <c r="A5" t="inlineStr">
        <is>
          <t>Narrative rate (any)</t>
        </is>
      </c>
      <c r="B5" s="9">
        <f>LET(t,ROWS(tblObs[Learner_ID]),w,COUNTIF(tblObs[Narrative_Positive],"&lt;&gt;")+COUNTIF(tblObs[Narrative_Improve],"&lt;&gt;"),IF(t=0,0,MIN(1,w/t)))</f>
        <v/>
      </c>
    </row>
    <row r="6">
      <c r="A6" t="inlineStr">
        <is>
          <t>Recency compliance (56d)</t>
        </is>
      </c>
      <c r="B6" s="9">
        <f>COUNTIF(tblObs[Date],"&gt;="&amp;TODAY()-56)/MAX(1,ROWS(tblObs[Date]))</f>
        <v/>
      </c>
    </row>
    <row r="7">
      <c r="A7" t="inlineStr">
        <is>
          <t>Flag rate</t>
        </is>
      </c>
      <c r="B7" s="9">
        <f>COUNTIF(tblObs[Flag],1)/MAX(1,ROWS(tblObs[Flag]))</f>
        <v/>
      </c>
    </row>
    <row r="8">
      <c r="A8" t="inlineStr">
        <is>
          <t>EPA coverage (observed/total)</t>
        </is>
      </c>
      <c r="B8" s="9">
        <f>COUNTA(UNIQUE(tblObs[EPA_ID]))/MAX(1,COUNTA(tblEPAs[EPA_ID]))</f>
        <v/>
      </c>
    </row>
    <row r="10">
      <c r="A10" s="2" t="inlineStr">
        <is>
          <t>Assessor leniency/stringency signals (z-score)</t>
        </is>
      </c>
    </row>
    <row r="11">
      <c r="A11" s="5" t="inlineStr">
        <is>
          <t>Assessor_ID</t>
        </is>
      </c>
      <c r="B11" s="5" t="inlineStr">
        <is>
          <t>Role</t>
        </is>
      </c>
      <c r="C11" s="5" t="inlineStr">
        <is>
          <t>Mean</t>
        </is>
      </c>
      <c r="D11" s="5" t="inlineStr">
        <is>
          <t>Z</t>
        </is>
      </c>
      <c r="E11" s="5" t="inlineStr">
        <is>
          <t>Flag</t>
        </is>
      </c>
      <c r="G11" s="2" t="inlineStr">
        <is>
          <t>GlobalMean</t>
        </is>
      </c>
      <c r="H11" s="2" t="inlineStr">
        <is>
          <t>GlobalSD</t>
        </is>
      </c>
    </row>
    <row r="12">
      <c r="A12">
        <f>IFERROR(INDEX(UNIQUE(tblObs[Assessor_ID]),ROW()-11),"")</f>
        <v/>
      </c>
      <c r="B12">
        <f>IF(A12="","",XLOOKUP(A12,tblObs[Assessor_ID],tblObs[Assessor_Role],""))</f>
        <v/>
      </c>
      <c r="C12" s="9">
        <f>IF(A12="","",AVERAGEIF(tblObs[Assessor_ID],A12,tblObs[Entrustment_Level]))</f>
        <v/>
      </c>
      <c r="D12" s="9">
        <f>IF(OR(A12="",$H$12=0),"",(C12-$G$12)/$H$12)</f>
        <v/>
      </c>
      <c r="E12">
        <f>IF(A12="","",IF(ABS(D12)&gt;=1.5,"Calibration needed","OK"))</f>
        <v/>
      </c>
      <c r="G12">
        <f>AVERAGE(tblObs[Entrustment_Level])</f>
        <v/>
      </c>
      <c r="H12">
        <f>STDEV.S(tblObs[Entrustment_Level])</f>
        <v/>
      </c>
    </row>
    <row r="13">
      <c r="A13">
        <f>IFERROR(INDEX(UNIQUE(tblObs[Assessor_ID]),ROW()-11),"")</f>
        <v/>
      </c>
      <c r="B13">
        <f>IF(A13="","",XLOOKUP(A13,tblObs[Assessor_ID],tblObs[Assessor_Role],""))</f>
        <v/>
      </c>
      <c r="C13" s="9">
        <f>IF(A13="","",AVERAGEIF(tblObs[Assessor_ID],A13,tblObs[Entrustment_Level]))</f>
        <v/>
      </c>
      <c r="D13" s="9">
        <f>IF(OR(A13="",$H$12=0),"",(C13-$G$12)/$H$12)</f>
        <v/>
      </c>
      <c r="E13">
        <f>IF(A13="","",IF(ABS(D13)&gt;=1.5,"Calibration needed","OK"))</f>
        <v/>
      </c>
    </row>
    <row r="14">
      <c r="A14">
        <f>IFERROR(INDEX(UNIQUE(tblObs[Assessor_ID]),ROW()-11),"")</f>
        <v/>
      </c>
      <c r="B14">
        <f>IF(A14="","",XLOOKUP(A14,tblObs[Assessor_ID],tblObs[Assessor_Role],""))</f>
        <v/>
      </c>
      <c r="C14" s="9">
        <f>IF(A14="","",AVERAGEIF(tblObs[Assessor_ID],A14,tblObs[Entrustment_Level]))</f>
        <v/>
      </c>
      <c r="D14" s="9">
        <f>IF(OR(A14="",$H$12=0),"",(C14-$G$12)/$H$12)</f>
        <v/>
      </c>
      <c r="E14">
        <f>IF(A14="","",IF(ABS(D14)&gt;=1.5,"Calibration needed","OK"))</f>
        <v/>
      </c>
    </row>
    <row r="15">
      <c r="A15">
        <f>IFERROR(INDEX(UNIQUE(tblObs[Assessor_ID]),ROW()-11),"")</f>
        <v/>
      </c>
      <c r="B15">
        <f>IF(A15="","",XLOOKUP(A15,tblObs[Assessor_ID],tblObs[Assessor_Role],""))</f>
        <v/>
      </c>
      <c r="C15" s="9">
        <f>IF(A15="","",AVERAGEIF(tblObs[Assessor_ID],A15,tblObs[Entrustment_Level]))</f>
        <v/>
      </c>
      <c r="D15" s="9">
        <f>IF(OR(A15="",$H$12=0),"",(C15-$G$12)/$H$12)</f>
        <v/>
      </c>
      <c r="E15">
        <f>IF(A15="","",IF(ABS(D15)&gt;=1.5,"Calibration needed","OK"))</f>
        <v/>
      </c>
    </row>
    <row r="16">
      <c r="A16">
        <f>IFERROR(INDEX(UNIQUE(tblObs[Assessor_ID]),ROW()-11),"")</f>
        <v/>
      </c>
      <c r="B16">
        <f>IF(A16="","",XLOOKUP(A16,tblObs[Assessor_ID],tblObs[Assessor_Role],""))</f>
        <v/>
      </c>
      <c r="C16" s="9">
        <f>IF(A16="","",AVERAGEIF(tblObs[Assessor_ID],A16,tblObs[Entrustment_Level]))</f>
        <v/>
      </c>
      <c r="D16" s="9">
        <f>IF(OR(A16="",$H$12=0),"",(C16-$G$12)/$H$12)</f>
        <v/>
      </c>
      <c r="E16">
        <f>IF(A16="","",IF(ABS(D16)&gt;=1.5,"Calibration needed","OK"))</f>
        <v/>
      </c>
    </row>
    <row r="17">
      <c r="A17">
        <f>IFERROR(INDEX(UNIQUE(tblObs[Assessor_ID]),ROW()-11),"")</f>
        <v/>
      </c>
      <c r="B17">
        <f>IF(A17="","",XLOOKUP(A17,tblObs[Assessor_ID],tblObs[Assessor_Role],""))</f>
        <v/>
      </c>
      <c r="C17" s="9">
        <f>IF(A17="","",AVERAGEIF(tblObs[Assessor_ID],A17,tblObs[Entrustment_Level]))</f>
        <v/>
      </c>
      <c r="D17" s="9">
        <f>IF(OR(A17="",$H$12=0),"",(C17-$G$12)/$H$12)</f>
        <v/>
      </c>
      <c r="E17">
        <f>IF(A17="","",IF(ABS(D17)&gt;=1.5,"Calibration needed","OK"))</f>
        <v/>
      </c>
    </row>
    <row r="18">
      <c r="A18">
        <f>IFERROR(INDEX(UNIQUE(tblObs[Assessor_ID]),ROW()-11),"")</f>
        <v/>
      </c>
      <c r="B18">
        <f>IF(A18="","",XLOOKUP(A18,tblObs[Assessor_ID],tblObs[Assessor_Role],""))</f>
        <v/>
      </c>
      <c r="C18" s="9">
        <f>IF(A18="","",AVERAGEIF(tblObs[Assessor_ID],A18,tblObs[Entrustment_Level]))</f>
        <v/>
      </c>
      <c r="D18" s="9">
        <f>IF(OR(A18="",$H$12=0),"",(C18-$G$12)/$H$12)</f>
        <v/>
      </c>
      <c r="E18">
        <f>IF(A18="","",IF(ABS(D18)&gt;=1.5,"Calibration needed","OK"))</f>
        <v/>
      </c>
    </row>
    <row r="19">
      <c r="A19">
        <f>IFERROR(INDEX(UNIQUE(tblObs[Assessor_ID]),ROW()-11),"")</f>
        <v/>
      </c>
      <c r="B19">
        <f>IF(A19="","",XLOOKUP(A19,tblObs[Assessor_ID],tblObs[Assessor_Role],""))</f>
        <v/>
      </c>
      <c r="C19" s="9">
        <f>IF(A19="","",AVERAGEIF(tblObs[Assessor_ID],A19,tblObs[Entrustment_Level]))</f>
        <v/>
      </c>
      <c r="D19" s="9">
        <f>IF(OR(A19="",$H$12=0),"",(C19-$G$12)/$H$12)</f>
        <v/>
      </c>
      <c r="E19">
        <f>IF(A19="","",IF(ABS(D19)&gt;=1.5,"Calibration needed","OK"))</f>
        <v/>
      </c>
    </row>
    <row r="20">
      <c r="A20">
        <f>IFERROR(INDEX(UNIQUE(tblObs[Assessor_ID]),ROW()-11),"")</f>
        <v/>
      </c>
      <c r="B20">
        <f>IF(A20="","",XLOOKUP(A20,tblObs[Assessor_ID],tblObs[Assessor_Role],""))</f>
        <v/>
      </c>
      <c r="C20" s="9">
        <f>IF(A20="","",AVERAGEIF(tblObs[Assessor_ID],A20,tblObs[Entrustment_Level]))</f>
        <v/>
      </c>
      <c r="D20" s="9">
        <f>IF(OR(A20="",$H$12=0),"",(C20-$G$12)/$H$12)</f>
        <v/>
      </c>
      <c r="E20">
        <f>IF(A20="","",IF(ABS(D20)&gt;=1.5,"Calibration needed","OK"))</f>
        <v/>
      </c>
    </row>
    <row r="21">
      <c r="A21">
        <f>IFERROR(INDEX(UNIQUE(tblObs[Assessor_ID]),ROW()-11),"")</f>
        <v/>
      </c>
      <c r="B21">
        <f>IF(A21="","",XLOOKUP(A21,tblObs[Assessor_ID],tblObs[Assessor_Role],""))</f>
        <v/>
      </c>
      <c r="C21" s="9">
        <f>IF(A21="","",AVERAGEIF(tblObs[Assessor_ID],A21,tblObs[Entrustment_Level]))</f>
        <v/>
      </c>
      <c r="D21" s="9">
        <f>IF(OR(A21="",$H$12=0),"",(C21-$G$12)/$H$12)</f>
        <v/>
      </c>
      <c r="E21">
        <f>IF(A21="","",IF(ABS(D21)&gt;=1.5,"Calibration needed","OK"))</f>
        <v/>
      </c>
    </row>
    <row r="22">
      <c r="A22">
        <f>IFERROR(INDEX(UNIQUE(tblObs[Assessor_ID]),ROW()-11),"")</f>
        <v/>
      </c>
      <c r="B22">
        <f>IF(A22="","",XLOOKUP(A22,tblObs[Assessor_ID],tblObs[Assessor_Role],""))</f>
        <v/>
      </c>
      <c r="C22" s="9">
        <f>IF(A22="","",AVERAGEIF(tblObs[Assessor_ID],A22,tblObs[Entrustment_Level]))</f>
        <v/>
      </c>
      <c r="D22" s="9">
        <f>IF(OR(A22="",$H$12=0),"",(C22-$G$12)/$H$12)</f>
        <v/>
      </c>
      <c r="E22">
        <f>IF(A22="","",IF(ABS(D22)&gt;=1.5,"Calibration needed","OK"))</f>
        <v/>
      </c>
    </row>
    <row r="23">
      <c r="A23">
        <f>IFERROR(INDEX(UNIQUE(tblObs[Assessor_ID]),ROW()-11),"")</f>
        <v/>
      </c>
      <c r="B23">
        <f>IF(A23="","",XLOOKUP(A23,tblObs[Assessor_ID],tblObs[Assessor_Role],""))</f>
        <v/>
      </c>
      <c r="C23" s="9">
        <f>IF(A23="","",AVERAGEIF(tblObs[Assessor_ID],A23,tblObs[Entrustment_Level]))</f>
        <v/>
      </c>
      <c r="D23" s="9">
        <f>IF(OR(A23="",$H$12=0),"",(C23-$G$12)/$H$12)</f>
        <v/>
      </c>
      <c r="E23">
        <f>IF(A23="","",IF(ABS(D23)&gt;=1.5,"Calibration needed","OK"))</f>
        <v/>
      </c>
    </row>
    <row r="24">
      <c r="A24">
        <f>IFERROR(INDEX(UNIQUE(tblObs[Assessor_ID]),ROW()-11),"")</f>
        <v/>
      </c>
      <c r="B24">
        <f>IF(A24="","",XLOOKUP(A24,tblObs[Assessor_ID],tblObs[Assessor_Role],""))</f>
        <v/>
      </c>
      <c r="C24" s="9">
        <f>IF(A24="","",AVERAGEIF(tblObs[Assessor_ID],A24,tblObs[Entrustment_Level]))</f>
        <v/>
      </c>
      <c r="D24" s="9">
        <f>IF(OR(A24="",$H$12=0),"",(C24-$G$12)/$H$12)</f>
        <v/>
      </c>
      <c r="E24">
        <f>IF(A24="","",IF(ABS(D24)&gt;=1.5,"Calibration needed","OK"))</f>
        <v/>
      </c>
    </row>
    <row r="25">
      <c r="A25">
        <f>IFERROR(INDEX(UNIQUE(tblObs[Assessor_ID]),ROW()-11),"")</f>
        <v/>
      </c>
      <c r="B25">
        <f>IF(A25="","",XLOOKUP(A25,tblObs[Assessor_ID],tblObs[Assessor_Role],""))</f>
        <v/>
      </c>
      <c r="C25" s="9">
        <f>IF(A25="","",AVERAGEIF(tblObs[Assessor_ID],A25,tblObs[Entrustment_Level]))</f>
        <v/>
      </c>
      <c r="D25" s="9">
        <f>IF(OR(A25="",$H$12=0),"",(C25-$G$12)/$H$12)</f>
        <v/>
      </c>
      <c r="E25">
        <f>IF(A25="","",IF(ABS(D25)&gt;=1.5,"Calibration needed","OK"))</f>
        <v/>
      </c>
    </row>
    <row r="26">
      <c r="A26">
        <f>IFERROR(INDEX(UNIQUE(tblObs[Assessor_ID]),ROW()-11),"")</f>
        <v/>
      </c>
      <c r="B26">
        <f>IF(A26="","",XLOOKUP(A26,tblObs[Assessor_ID],tblObs[Assessor_Role],""))</f>
        <v/>
      </c>
      <c r="C26" s="9">
        <f>IF(A26="","",AVERAGEIF(tblObs[Assessor_ID],A26,tblObs[Entrustment_Level]))</f>
        <v/>
      </c>
      <c r="D26" s="9">
        <f>IF(OR(A26="",$H$12=0),"",(C26-$G$12)/$H$12)</f>
        <v/>
      </c>
      <c r="E26">
        <f>IF(A26="","",IF(ABS(D26)&gt;=1.5,"Calibration needed","OK"))</f>
        <v/>
      </c>
    </row>
    <row r="27">
      <c r="A27">
        <f>IFERROR(INDEX(UNIQUE(tblObs[Assessor_ID]),ROW()-11),"")</f>
        <v/>
      </c>
      <c r="B27">
        <f>IF(A27="","",XLOOKUP(A27,tblObs[Assessor_ID],tblObs[Assessor_Role],""))</f>
        <v/>
      </c>
      <c r="C27" s="9">
        <f>IF(A27="","",AVERAGEIF(tblObs[Assessor_ID],A27,tblObs[Entrustment_Level]))</f>
        <v/>
      </c>
      <c r="D27" s="9">
        <f>IF(OR(A27="",$H$12=0),"",(C27-$G$12)/$H$12)</f>
        <v/>
      </c>
      <c r="E27">
        <f>IF(A27="","",IF(ABS(D27)&gt;=1.5,"Calibration needed","OK"))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40" customWidth="1" min="4" max="4"/>
    <col width="28" customWidth="1" min="5" max="5"/>
  </cols>
  <sheetData>
    <row r="1">
      <c r="A1" s="5" t="inlineStr">
        <is>
          <t>Date</t>
        </is>
      </c>
      <c r="B1" s="5" t="inlineStr">
        <is>
          <t>Change</t>
        </is>
      </c>
      <c r="C1" s="5" t="inlineStr">
        <is>
          <t>By</t>
        </is>
      </c>
      <c r="D1" s="5" t="inlineStr">
        <is>
          <t>Reason</t>
        </is>
      </c>
      <c r="E1" s="5" t="inlineStr">
        <is>
          <t>Related minutes/decision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2026-02-21T10:03:41Z</dcterms:created>
  <dcterms:modified xmlns:dcterms="http://purl.org/dc/terms/" xmlns:xsi="http://www.w3.org/2001/XMLSchema-instance" xsi:type="dcterms:W3CDTF">2026-02-21T10:09:06Z</dcterms:modified>
</cp:coreProperties>
</file>